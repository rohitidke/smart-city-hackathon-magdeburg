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nsen\Downloads\"/>
    </mc:Choice>
  </mc:AlternateContent>
  <xr:revisionPtr revIDLastSave="0" documentId="8_{EC0465BF-9228-4C5C-B41D-D5F468F657EB}" xr6:coauthVersionLast="36" xr6:coauthVersionMax="36" xr10:uidLastSave="{00000000-0000-0000-0000-000000000000}"/>
  <bookViews>
    <workbookView xWindow="0" yWindow="0" windowWidth="25200" windowHeight="11175" xr2:uid="{F5B95FDF-C016-4C39-A7D8-4F4164AA58A9}"/>
  </bookViews>
  <sheets>
    <sheet name="Energie" sheetId="1" r:id="rId1"/>
    <sheet name="CO2" sheetId="2" r:id="rId2"/>
    <sheet name="stationärer Energieverbrauch" sheetId="4" r:id="rId3"/>
  </sheets>
  <externalReferences>
    <externalReference r:id="rId4"/>
    <externalReference r:id="rId5"/>
    <externalReference r:id="rId6"/>
    <externalReference r:id="rId7"/>
  </externalReferences>
  <definedNames>
    <definedName name="Abfrage">[1]Darstellung!$C$9:$D$9</definedName>
    <definedName name="CO2_Aequivalent_Emissionen">[1]Darstellung!$C$8:$D$8</definedName>
    <definedName name="CO2_Emissionen">[1]Darstellung!$C$8:$D$8</definedName>
    <definedName name="_xlnm.Print_Area" localSheetId="2">'stationärer Energieverbrauch'!$B:$R</definedName>
    <definedName name="emmi">[1]Darstellung!$C$8:$D$8</definedName>
    <definedName name="Energieverbrauch_J">[1]Darstellung!$C$6:$E$6</definedName>
    <definedName name="Energieverbrauch_J_1">[1]Darstellung!$C$6:$E$6</definedName>
    <definedName name="Energieverbrauch_Wh">[1]Darstellung!$C$7:$E$7</definedName>
    <definedName name="Faktor1000">#REF!</definedName>
    <definedName name="Gebäudekategorie">'[2]Gebäude NR Kennzahlen'!$D$12:$D$56</definedName>
    <definedName name="Gebäudetyp_Untergruppen">'[2]IST Liegenschaft'!$D$193:$D$213</definedName>
    <definedName name="Jahr">'[2]IST Zsfg'!$H$10:$AR$10</definedName>
    <definedName name="TKF_00">[3]Temperaturkorrekturfaktor!$I$30</definedName>
    <definedName name="TKF_01">[3]Temperaturkorrekturfaktor!$J$30</definedName>
    <definedName name="TKF_02">[3]Temperaturkorrekturfaktor!$K$30</definedName>
    <definedName name="TKF_03">[3]Temperaturkorrekturfaktor!$L$30</definedName>
    <definedName name="TKF_04">[3]Temperaturkorrekturfaktor!$M$30</definedName>
    <definedName name="TKF_05">[3]Temperaturkorrekturfaktor!$N$30</definedName>
    <definedName name="TKF_06">[3]Temperaturkorrekturfaktor!$O$30</definedName>
    <definedName name="TKF_07">[3]Temperaturkorrekturfaktor!$P$30</definedName>
    <definedName name="TKF_08">[3]Temperaturkorrekturfaktor!$Q$30</definedName>
    <definedName name="TKF_09">[3]Temperaturkorrekturfaktor!$R$30</definedName>
    <definedName name="TKF_10">[3]Temperaturkorrekturfaktor!$S$30</definedName>
    <definedName name="TKF_11">[3]Temperaturkorrekturfaktor!$T$30</definedName>
    <definedName name="TKF_12">[3]Temperaturkorrekturfaktor!$U$30</definedName>
    <definedName name="TKF_13">[3]Temperaturkorrekturfaktor!$V$30</definedName>
    <definedName name="TKF_14">[3]Temperaturkorrekturfaktor!$W$30</definedName>
    <definedName name="TKF_15">[3]Temperaturkorrekturfaktor!$X$30</definedName>
    <definedName name="TKF_96">[3]Temperaturkorrekturfaktor!$E$30</definedName>
    <definedName name="TKF_97">[3]Temperaturkorrekturfaktor!$F$30</definedName>
    <definedName name="TKF_98">[3]Temperaturkorrekturfaktor!$G$30</definedName>
    <definedName name="TKF_99">[3]Temperaturkorrekturfaktor!$H$30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4" l="1"/>
  <c r="Q10" i="4"/>
  <c r="H11" i="4"/>
  <c r="H10" i="4" s="1"/>
  <c r="I11" i="4"/>
  <c r="J11" i="4"/>
  <c r="J10" i="4" s="1"/>
  <c r="K11" i="4"/>
  <c r="K10" i="4" s="1"/>
  <c r="L11" i="4"/>
  <c r="L10" i="4" s="1"/>
  <c r="M11" i="4"/>
  <c r="M10" i="4" s="1"/>
  <c r="N11" i="4"/>
  <c r="N10" i="4" s="1"/>
  <c r="O11" i="4"/>
  <c r="O10" i="4" s="1"/>
  <c r="P11" i="4"/>
  <c r="P10" i="4" s="1"/>
  <c r="Q11" i="4"/>
  <c r="R11" i="4"/>
  <c r="R10" i="4" s="1"/>
  <c r="S11" i="4"/>
  <c r="T11" i="4"/>
  <c r="T10" i="4" s="1"/>
  <c r="H12" i="4"/>
  <c r="I12" i="4"/>
  <c r="J12" i="4"/>
  <c r="K12" i="4"/>
  <c r="L12" i="4"/>
  <c r="M12" i="4"/>
  <c r="N12" i="4"/>
  <c r="O12" i="4"/>
  <c r="P12" i="4"/>
  <c r="Q12" i="4"/>
  <c r="R12" i="4"/>
  <c r="S12" i="4"/>
  <c r="S10" i="4" s="1"/>
  <c r="T12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Q27" i="4"/>
  <c r="R27" i="4"/>
  <c r="M28" i="4"/>
  <c r="M27" i="4" s="1"/>
  <c r="N28" i="4"/>
  <c r="N27" i="4" s="1"/>
  <c r="O28" i="4"/>
  <c r="O27" i="4" s="1"/>
  <c r="P28" i="4"/>
  <c r="Q28" i="4"/>
  <c r="R28" i="4"/>
  <c r="S28" i="4"/>
  <c r="S27" i="4" s="1"/>
  <c r="M29" i="4"/>
  <c r="N29" i="4"/>
  <c r="O29" i="4"/>
  <c r="P29" i="4"/>
  <c r="P27" i="4" s="1"/>
  <c r="Q29" i="4"/>
  <c r="R29" i="4"/>
  <c r="S29" i="4"/>
  <c r="M31" i="4"/>
  <c r="N31" i="4"/>
  <c r="O31" i="4"/>
  <c r="P31" i="4"/>
  <c r="Q31" i="4"/>
  <c r="R31" i="4"/>
  <c r="S31" i="4"/>
  <c r="N46" i="4"/>
  <c r="O46" i="4"/>
  <c r="P46" i="4"/>
  <c r="Q46" i="4"/>
  <c r="R46" i="4"/>
  <c r="S46" i="4"/>
  <c r="H47" i="4"/>
  <c r="Y47" i="4" s="1"/>
  <c r="I47" i="4"/>
  <c r="J47" i="4"/>
  <c r="J46" i="4" s="1"/>
  <c r="K47" i="4"/>
  <c r="K46" i="4" s="1"/>
  <c r="L47" i="4"/>
  <c r="L46" i="4" s="1"/>
  <c r="H48" i="4"/>
  <c r="Y48" i="4" s="1"/>
  <c r="I48" i="4"/>
  <c r="I46" i="4" s="1"/>
  <c r="J48" i="4"/>
  <c r="K48" i="4"/>
  <c r="L48" i="4"/>
  <c r="H50" i="4"/>
  <c r="I50" i="4"/>
  <c r="J50" i="4"/>
  <c r="K50" i="4"/>
  <c r="L50" i="4"/>
  <c r="N50" i="4"/>
  <c r="O50" i="4"/>
  <c r="P50" i="4"/>
  <c r="Q50" i="4"/>
  <c r="R50" i="4"/>
  <c r="S50" i="4"/>
  <c r="N47" i="4" l="1"/>
  <c r="O47" i="4"/>
  <c r="P47" i="4"/>
  <c r="Q47" i="4"/>
  <c r="R47" i="4"/>
  <c r="S47" i="4"/>
  <c r="N48" i="4"/>
  <c r="O48" i="4"/>
  <c r="P48" i="4"/>
  <c r="R48" i="4"/>
  <c r="S48" i="4"/>
  <c r="Q48" i="4"/>
  <c r="H46" i="4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</calcChain>
</file>

<file path=xl/sharedStrings.xml><?xml version="1.0" encoding="utf-8"?>
<sst xmlns="http://schemas.openxmlformats.org/spreadsheetml/2006/main" count="188" uniqueCount="78">
  <si>
    <t>alle Angaben in MWh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</si>
  <si>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</si>
  <si>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</si>
  <si>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</si>
  <si>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</si>
  <si>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</si>
  <si>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</si>
  <si>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</si>
  <si>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</si>
  <si>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</si>
  <si>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</si>
  <si>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</si>
  <si>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</si>
  <si>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</si>
  <si>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</si>
  <si>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</si>
  <si>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</si>
  <si>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</si>
  <si>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</si>
  <si>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</si>
  <si>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</si>
  <si>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</si>
  <si>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</si>
  <si>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</si>
  <si>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</si>
  <si>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</si>
  <si>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</si>
  <si>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</si>
  <si>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</si>
  <si>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</si>
  <si>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</si>
  <si>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Haushalte</t>
  </si>
  <si>
    <t>Industrie</t>
  </si>
  <si>
    <t>GHD</t>
  </si>
  <si>
    <t>Kommunale Verwaltung</t>
  </si>
  <si>
    <t>Verkehr</t>
  </si>
  <si>
    <t>Kommunale Flotte</t>
  </si>
  <si>
    <t>Gesamt</t>
  </si>
  <si>
    <t xml:space="preserve">Quelle </t>
  </si>
  <si>
    <t>Ecospeed-Datenexport</t>
  </si>
  <si>
    <t/>
  </si>
  <si>
    <t>Erstellt am</t>
  </si>
  <si>
    <t>7.10.2021, 17:25</t>
  </si>
  <si>
    <t>Bilanzierung nach BISKO</t>
  </si>
  <si>
    <r>
      <t>CO</t>
    </r>
    <r>
      <rPr>
        <b/>
        <vertAlign val="subscript"/>
        <sz val="18"/>
        <color theme="1" tint="0.34998626667073579"/>
        <rFont val="Calibri"/>
        <family val="2"/>
        <scheme val="minor"/>
      </rPr>
      <t>2</t>
    </r>
    <r>
      <rPr>
        <b/>
        <sz val="18"/>
        <color theme="1" tint="0.34998626667073579"/>
        <rFont val="Calibri"/>
        <family val="2"/>
        <scheme val="minor"/>
      </rPr>
      <t>-Emissionen</t>
    </r>
  </si>
  <si>
    <t xml:space="preserve">Endenergieverbrauch </t>
  </si>
  <si>
    <t>Strom</t>
  </si>
  <si>
    <t>Erdgas</t>
  </si>
  <si>
    <t>Fernwärme</t>
  </si>
  <si>
    <t>[MWh]</t>
  </si>
  <si>
    <t>Statistisches Landesamt</t>
  </si>
  <si>
    <t>EVU</t>
  </si>
  <si>
    <t>Landkreis</t>
  </si>
  <si>
    <t>davon kommunale Zuständigkeiten</t>
  </si>
  <si>
    <t>Gewerbe</t>
  </si>
  <si>
    <t>Gewerbe, Handel, Dienstleistung (GHD)</t>
  </si>
  <si>
    <t>wenn keine Aufteilung nach Sektoren, dann Verteilung wie bisher (Durchschnitt 2008 bis 2012)</t>
  </si>
  <si>
    <r>
      <t xml:space="preserve">Gesamt, </t>
    </r>
    <r>
      <rPr>
        <sz val="11"/>
        <color theme="1"/>
        <rFont val="Calibri"/>
        <family val="2"/>
        <scheme val="minor"/>
      </rPr>
      <t>davon</t>
    </r>
  </si>
  <si>
    <r>
      <t xml:space="preserve">Fernwärmeabsatz </t>
    </r>
    <r>
      <rPr>
        <sz val="12"/>
        <color indexed="9"/>
        <rFont val="Calibri"/>
        <family val="2"/>
      </rPr>
      <t>im Bilanzgebiet (Abnahme beim Endkunden, ohne Netz-/Leitungsverluste)</t>
    </r>
  </si>
  <si>
    <t>Einheit</t>
  </si>
  <si>
    <t>Parameter</t>
  </si>
  <si>
    <t>eigene Berechnung</t>
  </si>
  <si>
    <t>(sowohl als eingesetzter Brennstoff als auch als erzeugter Strom/Fernwärme). Berücksichtigung erfolgt bei Strom.</t>
  </si>
  <si>
    <r>
      <rPr>
        <b/>
        <sz val="11"/>
        <color rgb="FFC00000"/>
        <rFont val="Calibri"/>
        <family val="2"/>
        <scheme val="minor"/>
      </rPr>
      <t xml:space="preserve">! </t>
    </r>
    <r>
      <rPr>
        <sz val="11"/>
        <color theme="1" tint="0.34998626667073579"/>
        <rFont val="Calibri"/>
        <family val="2"/>
        <scheme val="minor"/>
      </rPr>
      <t xml:space="preserve">Erdgas-Input in eigenen Anlagen muss vom Verbrauch abgezogen werden, da diese Mengen sonst doppelt bilanziert werden </t>
    </r>
  </si>
  <si>
    <r>
      <t xml:space="preserve">Input lokale Anlagen, </t>
    </r>
    <r>
      <rPr>
        <sz val="11"/>
        <color theme="1"/>
        <rFont val="Calibri"/>
        <family val="2"/>
        <scheme val="minor"/>
      </rPr>
      <t>davon</t>
    </r>
  </si>
  <si>
    <t>RLM</t>
  </si>
  <si>
    <t>SLP</t>
  </si>
  <si>
    <t>wenn keine Aufteilung nach Sektoren, dann Annahme</t>
  </si>
  <si>
    <r>
      <t xml:space="preserve">Erdgasabsatz </t>
    </r>
    <r>
      <rPr>
        <sz val="12"/>
        <color indexed="9"/>
        <rFont val="Calibri"/>
        <family val="2"/>
      </rPr>
      <t>im Bilanzgebiet (Abnahme beim Endkunden, ohne Netz-/Leitungsverluste)</t>
    </r>
  </si>
  <si>
    <t xml:space="preserve"> </t>
  </si>
  <si>
    <t>Straßenbeleuchtung</t>
  </si>
  <si>
    <t>Wärmepumpen</t>
  </si>
  <si>
    <t>Wärmespeicher/unterbrechbare Verbrauchseinrichtungen</t>
  </si>
  <si>
    <r>
      <t xml:space="preserve">Stromabsatz </t>
    </r>
    <r>
      <rPr>
        <sz val="12"/>
        <color indexed="9"/>
        <rFont val="Calibri"/>
        <family val="2"/>
      </rPr>
      <t>im Bilanzgebiet (Abnahme beim Endkunden, ohne Netz-/Leitungsverluste)</t>
    </r>
  </si>
  <si>
    <t>Quelle</t>
  </si>
  <si>
    <t>Verbrauch der leitungsgebundenen Energieträger</t>
  </si>
  <si>
    <t>Energie- und THG Bilanz Magdeburg</t>
  </si>
  <si>
    <t xml:space="preserve">Eco Speed Region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</si>
</sst>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\-#,##0\ "/>
  </numFmts>
  <fonts count="3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  <scheme val="minor"/>
    </font>
    <font>
      <sz val="10"/>
      <name val="Calibri"/>
      <family val="2"/>
    </font>
    <font>
      <b/>
      <sz val="18"/>
      <color theme="1" tint="0.34998626667073579"/>
      <name val="Calibri"/>
      <family val="2"/>
      <scheme val="minor"/>
    </font>
    <font>
      <b/>
      <vertAlign val="subscript"/>
      <sz val="18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i/>
      <sz val="11"/>
      <color theme="1" tint="0.34998626667073579"/>
      <name val="Calibri"/>
      <family val="2"/>
      <scheme val="minor"/>
    </font>
    <font>
      <sz val="11"/>
      <color theme="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2"/>
      <color indexed="9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indexed="9"/>
      <name val="Calibri"/>
      <family val="2"/>
    </font>
    <font>
      <b/>
      <sz val="11"/>
      <color theme="0"/>
      <name val="Arial"/>
      <family val="2"/>
    </font>
    <font>
      <b/>
      <sz val="16"/>
      <color theme="3"/>
      <name val="Calibri"/>
      <family val="2"/>
      <scheme val="minor"/>
    </font>
    <font>
      <b/>
      <sz val="20"/>
      <color theme="1" tint="0.34998626667073579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8"/>
      <color theme="1" tint="0.34998626667073579"/>
      <name val="Calibri"/>
      <family val="2"/>
      <scheme val="minor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theme="0" tint="-0.499984740745262"/>
      </left>
      <right style="dashed">
        <color theme="0" tint="-0.499984740745262"/>
      </right>
      <top/>
      <bottom/>
      <diagonal/>
    </border>
    <border>
      <left/>
      <right/>
      <top/>
      <bottom style="medium">
        <color theme="0" tint="-0.14993743705557422"/>
      </bottom>
      <diagonal/>
    </border>
    <border>
      <left style="medium">
        <color theme="0" tint="-0.14996795556505021"/>
      </left>
      <right/>
      <top/>
      <bottom style="medium">
        <color theme="0" tint="-0.14993743705557422"/>
      </bottom>
      <diagonal/>
    </border>
    <border>
      <left style="medium">
        <color theme="0" tint="-0.1499679555650502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/>
      <right/>
      <top style="medium">
        <color theme="0" tint="-0.14996795556505021"/>
      </top>
      <bottom/>
      <diagonal/>
    </border>
    <border>
      <left style="medium">
        <color theme="0" tint="-0.14996795556505021"/>
      </left>
      <right/>
      <top style="medium">
        <color theme="0" tint="-0.14996795556505021"/>
      </top>
      <bottom/>
      <diagonal/>
    </border>
    <border>
      <left/>
      <right style="medium">
        <color theme="0" tint="-0.1499679555650502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ashed">
        <color theme="0" tint="-0.34998626667073579"/>
      </bottom>
      <diagonal/>
    </border>
  </borders>
  <cellStyleXfs count="5">
    <xf numFmtId="0" fontId="0" fillId="0" borderId="0"/>
    <xf numFmtId="0" fontId="6" fillId="0" borderId="0"/>
    <xf numFmtId="0" fontId="15" fillId="0" borderId="0"/>
    <xf numFmtId="0" fontId="12" fillId="2" borderId="0" applyNumberFormat="0" applyBorder="0" applyAlignment="0" applyProtection="0"/>
    <xf numFmtId="0" fontId="25" fillId="6" borderId="0">
      <alignment horizontal="center" vertical="center"/>
    </xf>
  </cellStyleXfs>
  <cellXfs count="90">
    <xf numFmtId="0" fontId="0" fillId="0" borderId="0" xfId="0"/>
    <xf numFmtId="0" fontId="4" fillId="3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right"/>
    </xf>
    <xf numFmtId="0" fontId="5" fillId="0" borderId="0" xfId="0" applyFont="1"/>
    <xf numFmtId="0" fontId="0" fillId="0" borderId="0" xfId="0" applyFont="1"/>
    <xf numFmtId="3" fontId="7" fillId="0" borderId="0" xfId="1" applyNumberFormat="1" applyFont="1"/>
    <xf numFmtId="0" fontId="5" fillId="4" borderId="0" xfId="0" applyFont="1" applyFill="1"/>
    <xf numFmtId="0" fontId="0" fillId="4" borderId="0" xfId="0" applyFont="1" applyFill="1"/>
    <xf numFmtId="3" fontId="7" fillId="4" borderId="0" xfId="1" applyNumberFormat="1" applyFont="1" applyFill="1"/>
    <xf numFmtId="3" fontId="5" fillId="0" borderId="0" xfId="0" applyNumberFormat="1" applyFont="1"/>
    <xf numFmtId="0" fontId="2" fillId="0" borderId="0" xfId="0" applyFont="1"/>
    <xf numFmtId="0" fontId="5" fillId="0" borderId="0" xfId="1" applyFont="1"/>
    <xf numFmtId="0" fontId="8" fillId="0" borderId="0" xfId="0" applyFont="1"/>
    <xf numFmtId="0" fontId="19" fillId="6" borderId="2" xfId="0" applyFont="1" applyFill="1" applyBorder="1" applyAlignment="1">
      <alignment horizontal="right" vertical="center" indent="1"/>
    </xf>
    <xf numFmtId="0" fontId="0" fillId="0" borderId="0" xfId="0" applyFont="1" applyAlignment="1">
      <alignment horizontal="center" vertical="center"/>
    </xf>
    <xf numFmtId="0" fontId="0" fillId="0" borderId="0" xfId="0" applyFont="1" applyFill="1"/>
    <xf numFmtId="3" fontId="0" fillId="0" borderId="3" xfId="0" applyNumberFormat="1" applyBorder="1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4" xfId="0" applyFont="1" applyBorder="1"/>
    <xf numFmtId="0" fontId="10" fillId="0" borderId="0" xfId="0" applyFont="1"/>
    <xf numFmtId="0" fontId="10" fillId="0" borderId="0" xfId="0" applyFont="1" applyAlignment="1">
      <alignment horizontal="left" indent="2"/>
    </xf>
    <xf numFmtId="0" fontId="0" fillId="4" borderId="0" xfId="0" applyFont="1" applyFill="1" applyBorder="1"/>
    <xf numFmtId="0" fontId="0" fillId="4" borderId="0" xfId="0" applyFont="1" applyFill="1" applyBorder="1" applyAlignment="1">
      <alignment horizontal="right" vertical="center" indent="1"/>
    </xf>
    <xf numFmtId="0" fontId="10" fillId="4" borderId="0" xfId="0" applyFont="1" applyFill="1"/>
    <xf numFmtId="0" fontId="0" fillId="4" borderId="0" xfId="0" applyFont="1" applyFill="1" applyAlignment="1">
      <alignment horizontal="left" indent="1"/>
    </xf>
    <xf numFmtId="0" fontId="0" fillId="0" borderId="5" xfId="0" applyFont="1" applyBorder="1"/>
    <xf numFmtId="9" fontId="10" fillId="0" borderId="0" xfId="0" applyNumberFormat="1" applyFont="1"/>
    <xf numFmtId="164" fontId="17" fillId="4" borderId="1" xfId="0" applyNumberFormat="1" applyFont="1" applyFill="1" applyBorder="1" applyAlignment="1">
      <alignment horizontal="right" vertical="center"/>
    </xf>
    <xf numFmtId="0" fontId="0" fillId="4" borderId="1" xfId="0" applyFont="1" applyFill="1" applyBorder="1"/>
    <xf numFmtId="3" fontId="20" fillId="4" borderId="1" xfId="0" applyNumberFormat="1" applyFont="1" applyFill="1" applyBorder="1"/>
    <xf numFmtId="0" fontId="0" fillId="4" borderId="6" xfId="0" applyFont="1" applyFill="1" applyBorder="1" applyAlignment="1">
      <alignment horizontal="right" vertical="center" indent="1"/>
    </xf>
    <xf numFmtId="0" fontId="10" fillId="0" borderId="0" xfId="0" applyFont="1" applyFill="1"/>
    <xf numFmtId="3" fontId="0" fillId="0" borderId="7" xfId="0" applyNumberFormat="1" applyFont="1" applyBorder="1"/>
    <xf numFmtId="0" fontId="20" fillId="0" borderId="0" xfId="0" applyFont="1" applyBorder="1" applyAlignment="1">
      <alignment horizontal="right" vertical="center" indent="1"/>
    </xf>
    <xf numFmtId="0" fontId="10" fillId="0" borderId="0" xfId="0" applyFont="1" applyBorder="1"/>
    <xf numFmtId="0" fontId="0" fillId="0" borderId="0" xfId="0" applyFont="1" applyBorder="1"/>
    <xf numFmtId="0" fontId="21" fillId="0" borderId="0" xfId="0" applyFont="1" applyAlignment="1">
      <alignment horizontal="left" indent="2"/>
    </xf>
    <xf numFmtId="164" fontId="17" fillId="5" borderId="1" xfId="0" applyNumberFormat="1" applyFont="1" applyFill="1" applyBorder="1" applyAlignment="1">
      <alignment horizontal="right" vertical="center"/>
    </xf>
    <xf numFmtId="0" fontId="0" fillId="0" borderId="1" xfId="0" applyFont="1" applyBorder="1"/>
    <xf numFmtId="3" fontId="20" fillId="0" borderId="1" xfId="0" applyNumberFormat="1" applyFont="1" applyBorder="1"/>
    <xf numFmtId="0" fontId="0" fillId="0" borderId="6" xfId="0" applyFont="1" applyBorder="1" applyAlignment="1">
      <alignment horizontal="right" vertical="center" indent="1"/>
    </xf>
    <xf numFmtId="0" fontId="0" fillId="0" borderId="0" xfId="0" applyFont="1" applyAlignment="1">
      <alignment horizontal="left" indent="1"/>
    </xf>
    <xf numFmtId="0" fontId="10" fillId="0" borderId="0" xfId="0" applyFont="1" applyAlignment="1">
      <alignment horizontal="left" indent="1"/>
    </xf>
    <xf numFmtId="164" fontId="16" fillId="5" borderId="1" xfId="0" applyNumberFormat="1" applyFont="1" applyFill="1" applyBorder="1" applyAlignment="1">
      <alignment horizontal="right" vertical="center"/>
    </xf>
    <xf numFmtId="164" fontId="22" fillId="5" borderId="1" xfId="0" applyNumberFormat="1" applyFont="1" applyFill="1" applyBorder="1" applyAlignment="1">
      <alignment horizontal="right" vertical="center"/>
    </xf>
    <xf numFmtId="0" fontId="0" fillId="0" borderId="0" xfId="0" applyFont="1" applyBorder="1" applyAlignment="1">
      <alignment horizontal="center" vertical="center"/>
    </xf>
    <xf numFmtId="0" fontId="23" fillId="3" borderId="0" xfId="3" applyFont="1" applyFill="1" applyBorder="1"/>
    <xf numFmtId="0" fontId="23" fillId="3" borderId="0" xfId="3" applyFont="1" applyFill="1" applyBorder="1" applyAlignment="1">
      <alignment horizontal="center" vertical="center"/>
    </xf>
    <xf numFmtId="0" fontId="13" fillId="3" borderId="0" xfId="3" applyFont="1" applyFill="1" applyBorder="1"/>
    <xf numFmtId="0" fontId="13" fillId="6" borderId="0" xfId="4" applyFont="1" applyBorder="1" applyAlignment="1">
      <alignment horizontal="center" vertical="center"/>
    </xf>
    <xf numFmtId="0" fontId="1" fillId="6" borderId="0" xfId="4" applyFont="1" applyBorder="1" applyAlignment="1">
      <alignment horizontal="left" vertical="center"/>
    </xf>
    <xf numFmtId="0" fontId="13" fillId="6" borderId="0" xfId="4" applyFont="1" applyBorder="1" applyAlignment="1">
      <alignment horizontal="left" vertical="center"/>
    </xf>
    <xf numFmtId="0" fontId="14" fillId="0" borderId="8" xfId="0" applyFont="1" applyBorder="1"/>
    <xf numFmtId="0" fontId="14" fillId="0" borderId="8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/>
    <xf numFmtId="0" fontId="27" fillId="0" borderId="0" xfId="0" applyFont="1"/>
    <xf numFmtId="0" fontId="18" fillId="0" borderId="0" xfId="0" applyFont="1" applyFill="1" applyAlignment="1">
      <alignment horizontal="left" indent="2"/>
    </xf>
    <xf numFmtId="0" fontId="10" fillId="0" borderId="0" xfId="0" applyFont="1" applyFill="1" applyAlignment="1">
      <alignment horizontal="left" indent="2"/>
    </xf>
    <xf numFmtId="3" fontId="0" fillId="4" borderId="1" xfId="0" applyNumberFormat="1" applyFont="1" applyFill="1" applyBorder="1"/>
    <xf numFmtId="0" fontId="20" fillId="0" borderId="0" xfId="0" applyFont="1" applyAlignment="1">
      <alignment horizontal="left" indent="1"/>
    </xf>
    <xf numFmtId="9" fontId="20" fillId="0" borderId="0" xfId="0" applyNumberFormat="1" applyFont="1"/>
    <xf numFmtId="0" fontId="20" fillId="0" borderId="0" xfId="0" applyFont="1"/>
    <xf numFmtId="3" fontId="0" fillId="0" borderId="1" xfId="0" applyNumberFormat="1" applyFont="1" applyBorder="1"/>
    <xf numFmtId="3" fontId="2" fillId="0" borderId="1" xfId="0" applyNumberFormat="1" applyFont="1" applyBorder="1"/>
    <xf numFmtId="3" fontId="0" fillId="0" borderId="0" xfId="0" applyNumberFormat="1" applyFont="1" applyBorder="1"/>
    <xf numFmtId="3" fontId="0" fillId="0" borderId="0" xfId="0" applyNumberFormat="1" applyBorder="1" applyAlignment="1">
      <alignment horizontal="center"/>
    </xf>
    <xf numFmtId="3" fontId="0" fillId="0" borderId="0" xfId="0" applyNumberFormat="1" applyBorder="1"/>
    <xf numFmtId="0" fontId="29" fillId="0" borderId="10" xfId="0" applyFont="1" applyBorder="1" applyAlignment="1">
      <alignment vertical="center" textRotation="90" wrapText="1"/>
    </xf>
    <xf numFmtId="0" fontId="0" fillId="4" borderId="11" xfId="0" applyFont="1" applyFill="1" applyBorder="1"/>
    <xf numFmtId="9" fontId="10" fillId="0" borderId="0" xfId="0" applyNumberFormat="1" applyFont="1" applyFill="1"/>
    <xf numFmtId="3" fontId="20" fillId="0" borderId="7" xfId="0" applyNumberFormat="1" applyFont="1" applyBorder="1"/>
    <xf numFmtId="0" fontId="0" fillId="0" borderId="1" xfId="0" applyFont="1" applyBorder="1" applyAlignment="1">
      <alignment horizontal="right" vertical="center"/>
    </xf>
    <xf numFmtId="164" fontId="0" fillId="0" borderId="1" xfId="0" applyNumberFormat="1" applyFont="1" applyBorder="1" applyAlignment="1">
      <alignment horizontal="right" vertical="center"/>
    </xf>
    <xf numFmtId="3" fontId="0" fillId="4" borderId="1" xfId="0" applyNumberFormat="1" applyFont="1" applyFill="1" applyBorder="1" applyAlignment="1">
      <alignment horizontal="right" vertical="center"/>
    </xf>
    <xf numFmtId="0" fontId="0" fillId="4" borderId="1" xfId="0" applyFont="1" applyFill="1" applyBorder="1" applyAlignment="1">
      <alignment horizontal="right" vertical="center"/>
    </xf>
    <xf numFmtId="164" fontId="0" fillId="4" borderId="1" xfId="0" applyNumberFormat="1" applyFont="1" applyFill="1" applyBorder="1" applyAlignment="1">
      <alignment horizontal="right" vertical="center"/>
    </xf>
    <xf numFmtId="3" fontId="0" fillId="4" borderId="11" xfId="0" applyNumberFormat="1" applyFont="1" applyFill="1" applyBorder="1" applyAlignment="1">
      <alignment horizontal="right" vertical="center"/>
    </xf>
    <xf numFmtId="0" fontId="0" fillId="4" borderId="11" xfId="0" applyFont="1" applyFill="1" applyBorder="1" applyAlignment="1">
      <alignment horizontal="right" vertical="center"/>
    </xf>
    <xf numFmtId="164" fontId="0" fillId="4" borderId="11" xfId="0" applyNumberFormat="1" applyFont="1" applyFill="1" applyBorder="1" applyAlignment="1">
      <alignment horizontal="right" vertical="center"/>
    </xf>
    <xf numFmtId="164" fontId="20" fillId="0" borderId="7" xfId="0" applyNumberFormat="1" applyFont="1" applyBorder="1" applyAlignment="1">
      <alignment horizontal="right" vertical="center"/>
    </xf>
    <xf numFmtId="164" fontId="10" fillId="0" borderId="7" xfId="0" applyNumberFormat="1" applyFont="1" applyBorder="1" applyAlignment="1">
      <alignment horizontal="right" vertical="center"/>
    </xf>
    <xf numFmtId="164" fontId="0" fillId="0" borderId="7" xfId="0" applyNumberFormat="1" applyFont="1" applyBorder="1" applyAlignment="1">
      <alignment horizontal="right" vertical="center"/>
    </xf>
    <xf numFmtId="0" fontId="10" fillId="0" borderId="0" xfId="0" applyFont="1" applyBorder="1" applyAlignment="1">
      <alignment horizontal="right" vertical="center" indent="1"/>
    </xf>
    <xf numFmtId="0" fontId="11" fillId="0" borderId="0" xfId="0" applyFont="1" applyAlignment="1">
      <alignment horizontal="left" indent="2"/>
    </xf>
    <xf numFmtId="0" fontId="30" fillId="0" borderId="12" xfId="0" applyFont="1" applyBorder="1" applyAlignment="1"/>
    <xf numFmtId="0" fontId="31" fillId="0" borderId="0" xfId="0" applyFont="1"/>
    <xf numFmtId="0" fontId="26" fillId="0" borderId="0" xfId="0" applyFont="1" applyAlignment="1">
      <alignment horizontal="left" vertical="center"/>
    </xf>
  </cellXfs>
  <cellStyles count="5">
    <cellStyle name="Akzent2 2" xfId="3" xr:uid="{E2405707-05F3-41B0-9FA1-AB4D191F2BCF}"/>
    <cellStyle name="Standard" xfId="0" builtinId="0"/>
    <cellStyle name="Standard 3 2" xfId="2" xr:uid="{E978B607-777E-4886-B74C-EA13535F284B}"/>
    <cellStyle name="Standard 6" xfId="1" xr:uid="{EEBCCCF1-27A7-48BF-B203-D48139BF02A7}"/>
    <cellStyle name="Stil 1" xfId="4" xr:uid="{FB27633D-4642-4FF6-A643-9D318BEAAF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#Startmen&#252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445559</xdr:colOff>
      <xdr:row>10</xdr:row>
      <xdr:rowOff>71967</xdr:rowOff>
    </xdr:from>
    <xdr:to>
      <xdr:col>4</xdr:col>
      <xdr:colOff>465879</xdr:colOff>
      <xdr:row>12</xdr:row>
      <xdr:rowOff>63316</xdr:rowOff>
    </xdr:to>
    <xdr:pic>
      <xdr:nvPicPr>
        <xdr:cNvPr id="2" name="Grafik 1" descr="ECOSPEED AG">
          <a:extLst>
            <a:ext uri="{FF2B5EF4-FFF2-40B4-BE49-F238E27FC236}">
              <a16:creationId xmlns:a16="http://schemas.microsoft.com/office/drawing/2014/main" id="{C4DF7478-22EC-4938-9214-FE00CD1A5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9309" y="2081742"/>
          <a:ext cx="782320" cy="372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</xdr:row>
      <xdr:rowOff>0</xdr:rowOff>
    </xdr:from>
    <xdr:to>
      <xdr:col>4</xdr:col>
      <xdr:colOff>20320</xdr:colOff>
      <xdr:row>11</xdr:row>
      <xdr:rowOff>181849</xdr:rowOff>
    </xdr:to>
    <xdr:pic>
      <xdr:nvPicPr>
        <xdr:cNvPr id="3" name="Grafik 2" descr="ECOSPEED AG">
          <a:extLst>
            <a:ext uri="{FF2B5EF4-FFF2-40B4-BE49-F238E27FC236}">
              <a16:creationId xmlns:a16="http://schemas.microsoft.com/office/drawing/2014/main" id="{C03E67D7-1CD3-4074-B006-7E21376B0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2047875"/>
          <a:ext cx="782320" cy="3723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42333" y="31750"/>
    <xdr:ext cx="356730" cy="360406"/>
    <xdr:pic>
      <xdr:nvPicPr>
        <xdr:cNvPr id="2" name="Grafik 1" descr="C:\Dokumente und Einstellungen\mebert\Lokale Einstellungen\Temporary Internet Files\Content.IE5\H6UYRNYN\MCj04326800000[1]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4CDC48-44C9-4AA6-9206-80BCF6D27682}"/>
            </a:ext>
          </a:extLst>
        </xdr:cNvPr>
        <xdr:cNvPicPr/>
      </xdr:nvPicPr>
      <xdr:blipFill>
        <a:blip xmlns:r="http://schemas.openxmlformats.org/officeDocument/2006/relationships" r:embed="rId2" cstate="print">
          <a:duotone>
            <a:prstClr val="black"/>
            <a:schemeClr val="accent3">
              <a:tint val="45000"/>
              <a:satMod val="400000"/>
            </a:schemeClr>
          </a:duotone>
          <a:lum bright="22000"/>
        </a:blip>
        <a:srcRect/>
        <a:stretch>
          <a:fillRect/>
        </a:stretch>
      </xdr:blipFill>
      <xdr:spPr bwMode="auto">
        <a:xfrm>
          <a:off x="42333" y="31750"/>
          <a:ext cx="356730" cy="3604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1%20PROJEKTE\104-046-03%20Klimaneutrale%20Stadtverwaltung%202050%20Hannover\4_Bearbeitung\Modell\Users\ascheuermann\AppData\Roaming\Microsoft\Excel\2014-08-19-Szenarientool%20Masterplan%20Region%20Hannover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0%20Archiv%20Projekte\104-046-03%20Klimaneutrale%20Stadtverwaltung%202050%20Hannover\4_Bearbeitung\Modell\IE_2019-03-28_LHH%20klimaneutrale%20Verwaltung_Modell%202020%20203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1%20PROJEKTE\104-046-03%20Klimaneutrale%20Stadtverwaltung%202050%20Hannover\4_Bearbeitung\Modell\Dokumente%20und%20Einstellungen\cvoigtl&#228;nder\Eigene%20Dateien\Energiedaten%20Sachsen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mweltvorsorge\CO2-Bilanz\10_IELpz_MgdCO2Bilanz2012Bis2019_2015Bis2021\2021-11-22_Datenlieferung_Magdeburg_Bilanzierung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menü"/>
      <sheetName val="Aktivitäten EE"/>
      <sheetName val="Aktivitäten Verkehr"/>
      <sheetName val="Aktivitäten Industrie"/>
      <sheetName val="Aktivitäten GHD"/>
      <sheetName val="Aktivitäten Haushalte"/>
      <sheetName val="Aktivitäten Nicht-Energie THG"/>
      <sheetName val="Region Tabellen"/>
      <sheetName val="Region Graphiken Pfad 1-3"/>
      <sheetName val="Region Graphiken Pfad 1-5"/>
      <sheetName val="LHH Zsfg"/>
      <sheetName val="UK Zsfg"/>
      <sheetName val="LHH Umwandlung"/>
      <sheetName val="LHH EE"/>
      <sheetName val="UK Umwandlung"/>
      <sheetName val="UK EE"/>
      <sheetName val="CO2 Faktoren"/>
      <sheetName val="LHH Verkehr"/>
      <sheetName val="UK Verkehr"/>
      <sheetName val="LHH Industrie"/>
      <sheetName val="UK Industrie"/>
      <sheetName val="LHH GHD"/>
      <sheetName val="UK GHD"/>
      <sheetName val="LHH Haushalte"/>
      <sheetName val="UK Haushalte"/>
      <sheetName val="LHH Trend"/>
      <sheetName val="LHH Kap-Pfad"/>
      <sheetName val="LHH Ziel-Pfad"/>
      <sheetName val="LHH Erneuerbare Max"/>
      <sheetName val="LHH Effizienz-Max"/>
      <sheetName val="UK Trend"/>
      <sheetName val="UK Kap-Pfad"/>
      <sheetName val="UK Ziel-Pfad"/>
      <sheetName val="UK Erneuerbare-Max"/>
      <sheetName val="UK Effizeinz-Max"/>
      <sheetName val="LHH Nicht-Energie THG"/>
      <sheetName val="UK Nicht-Energie THG"/>
      <sheetName val="Quellen"/>
      <sheetName val="Strukturwerte"/>
      <sheetName val="Darstellu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>
        <row r="6">
          <cell r="C6" t="str">
            <v>GJ</v>
          </cell>
          <cell r="D6" t="str">
            <v>TJ</v>
          </cell>
          <cell r="E6" t="str">
            <v>PJ</v>
          </cell>
        </row>
        <row r="7">
          <cell r="C7" t="str">
            <v>MWh</v>
          </cell>
          <cell r="D7" t="str">
            <v>GWh</v>
          </cell>
          <cell r="E7" t="str">
            <v>TWh</v>
          </cell>
        </row>
        <row r="8">
          <cell r="C8" t="str">
            <v>t CO₂</v>
          </cell>
          <cell r="D8" t="str">
            <v>1.000 t CO₂</v>
          </cell>
        </row>
        <row r="9">
          <cell r="C9" t="str">
            <v>ja</v>
          </cell>
          <cell r="D9" t="str">
            <v>nein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menü"/>
      <sheetName val="Maßnahmen"/>
      <sheetName val="2020_2030"/>
      <sheetName val="Zsfg Abb"/>
      <sheetName val="ZIEL Zsfg"/>
      <sheetName val="TREND Zsfg"/>
      <sheetName val="IST Zsfg"/>
      <sheetName val="ZIEL Faktoren"/>
      <sheetName val="TREND Faktoren"/>
      <sheetName val="Produktion Abb"/>
      <sheetName val="ZIEL Produktion"/>
      <sheetName val="TREND Produktion"/>
      <sheetName val="IST Produktion"/>
      <sheetName val="Liegenschaft Abb"/>
      <sheetName val="ZIEL Liegenschaft"/>
      <sheetName val="TREND Liegenschaft"/>
      <sheetName val="IST Liegenschaft"/>
      <sheetName val="ZIEL Verwaltungsgebäude"/>
      <sheetName val="TREND Verwaltungsgebäude"/>
      <sheetName val="IST Verwaltungsgebäude"/>
      <sheetName val="ZIEL Pflegeheime"/>
      <sheetName val="TREND Pflegeheime"/>
      <sheetName val="IST Pflegeheime"/>
      <sheetName val="ZIEL Bildungseinrichtungen"/>
      <sheetName val="TREND Bildungseinrichtungen"/>
      <sheetName val="IST Bildungseinrichtungen"/>
      <sheetName val="ZIEL Sportbauten"/>
      <sheetName val="TREND Sportbauten"/>
      <sheetName val="IST Sportbauten"/>
      <sheetName val="ZIEL Gemeinschaftsstätten"/>
      <sheetName val="TREND Gemeinschaftsstätten"/>
      <sheetName val="IST Gemeinschaftsstätten"/>
      <sheetName val="ZIEL PWL tech"/>
      <sheetName val="TREND PWL tech"/>
      <sheetName val="IST PWL tech"/>
      <sheetName val="ZIEL Sonstige Gebäude"/>
      <sheetName val="TREND Sonstige Gebäude"/>
      <sheetName val="IST Sonstige Gebäude"/>
      <sheetName val="Gebäude NR Kennzahlen"/>
      <sheetName val="Anlagen Abb"/>
      <sheetName val="ZIEL Anlagen"/>
      <sheetName val="TREND Anlagen"/>
      <sheetName val="IST Anlagen"/>
      <sheetName val="Mobilität Abb"/>
      <sheetName val="ZIEL Mobilität"/>
      <sheetName val="TREND Mobilität"/>
      <sheetName val="IST Mobilität"/>
      <sheetName val="ZIEL 2016 Zsfg"/>
      <sheetName val="ZIEL 2016 Produktion"/>
      <sheetName val="ZIEL 2016 Liegenschaft"/>
      <sheetName val="ZIEL 2016 Anlagen"/>
      <sheetName val="ZIEL 2016 Mobilität"/>
    </sheetNames>
    <sheetDataSet>
      <sheetData sheetId="0"/>
      <sheetData sheetId="1"/>
      <sheetData sheetId="2"/>
      <sheetData sheetId="3"/>
      <sheetData sheetId="4"/>
      <sheetData sheetId="5"/>
      <sheetData sheetId="6">
        <row r="10">
          <cell r="H10">
            <v>2014</v>
          </cell>
          <cell r="I10">
            <v>2015</v>
          </cell>
          <cell r="J10">
            <v>2016</v>
          </cell>
          <cell r="K10">
            <v>2017</v>
          </cell>
          <cell r="L10">
            <v>2018</v>
          </cell>
          <cell r="M10">
            <v>2019</v>
          </cell>
          <cell r="N10">
            <v>2020</v>
          </cell>
          <cell r="O10">
            <v>2021</v>
          </cell>
          <cell r="P10">
            <v>2022</v>
          </cell>
          <cell r="Q10">
            <v>2023</v>
          </cell>
          <cell r="R10">
            <v>2024</v>
          </cell>
          <cell r="S10">
            <v>2025</v>
          </cell>
          <cell r="T10">
            <v>2026</v>
          </cell>
          <cell r="U10">
            <v>2027</v>
          </cell>
          <cell r="V10">
            <v>2028</v>
          </cell>
          <cell r="W10">
            <v>2029</v>
          </cell>
          <cell r="X10">
            <v>2030</v>
          </cell>
          <cell r="Y10">
            <v>2031</v>
          </cell>
          <cell r="Z10">
            <v>2032</v>
          </cell>
          <cell r="AA10">
            <v>2033</v>
          </cell>
          <cell r="AB10">
            <v>2034</v>
          </cell>
          <cell r="AC10">
            <v>2035</v>
          </cell>
          <cell r="AD10">
            <v>2036</v>
          </cell>
          <cell r="AE10">
            <v>2037</v>
          </cell>
          <cell r="AF10">
            <v>2038</v>
          </cell>
          <cell r="AG10">
            <v>2039</v>
          </cell>
          <cell r="AH10">
            <v>2040</v>
          </cell>
          <cell r="AI10">
            <v>2041</v>
          </cell>
          <cell r="AJ10">
            <v>2042</v>
          </cell>
          <cell r="AK10">
            <v>2043</v>
          </cell>
          <cell r="AL10">
            <v>2044</v>
          </cell>
          <cell r="AM10">
            <v>2045</v>
          </cell>
          <cell r="AN10">
            <v>2046</v>
          </cell>
          <cell r="AO10">
            <v>2047</v>
          </cell>
          <cell r="AP10">
            <v>2048</v>
          </cell>
          <cell r="AQ10">
            <v>2049</v>
          </cell>
          <cell r="AR10">
            <v>2050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93">
          <cell r="D193" t="str">
            <v>Verwaltungsgebäude</v>
          </cell>
        </row>
        <row r="194">
          <cell r="D194" t="str">
            <v>Pflegeheime</v>
          </cell>
        </row>
        <row r="195">
          <cell r="D195" t="str">
            <v>Bildungseinrichtungen</v>
          </cell>
        </row>
        <row r="196">
          <cell r="D196" t="str">
            <v>Schule</v>
          </cell>
        </row>
        <row r="197">
          <cell r="D197" t="str">
            <v>Kita</v>
          </cell>
        </row>
        <row r="198">
          <cell r="D198" t="str">
            <v>Sportbauten</v>
          </cell>
        </row>
        <row r="199">
          <cell r="D199" t="str">
            <v>Sportanlagen</v>
          </cell>
        </row>
        <row r="200">
          <cell r="D200" t="str">
            <v>Bäder</v>
          </cell>
        </row>
        <row r="201">
          <cell r="D201" t="str">
            <v>Gemeinschaftsstätten</v>
          </cell>
        </row>
        <row r="202">
          <cell r="D202" t="str">
            <v>Jugendzentren</v>
          </cell>
        </row>
        <row r="203">
          <cell r="D203" t="str">
            <v>Freizeitzentren</v>
          </cell>
        </row>
        <row r="204">
          <cell r="D204" t="str">
            <v>PWL tech</v>
          </cell>
        </row>
        <row r="205">
          <cell r="D205" t="str">
            <v>PWL</v>
          </cell>
        </row>
        <row r="206">
          <cell r="D206" t="str">
            <v>Stadtentwässerung</v>
          </cell>
        </row>
        <row r="207">
          <cell r="D207" t="str">
            <v>Städtische Häfen</v>
          </cell>
        </row>
        <row r="208">
          <cell r="D208" t="str">
            <v>Feuerwehr</v>
          </cell>
        </row>
        <row r="209">
          <cell r="D209" t="str">
            <v>Sonstige Gebäude</v>
          </cell>
        </row>
        <row r="210">
          <cell r="D210" t="str">
            <v>Museen und Theater</v>
          </cell>
        </row>
        <row r="211">
          <cell r="D211" t="str">
            <v>Bibliotheksgebäude</v>
          </cell>
        </row>
        <row r="212">
          <cell r="D212" t="str">
            <v>HCC</v>
          </cell>
        </row>
        <row r="213">
          <cell r="D213" t="str">
            <v>Friedhofsanlagen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>
        <row r="12">
          <cell r="D12" t="str">
            <v>Gebäudekategorie</v>
          </cell>
        </row>
        <row r="13">
          <cell r="D13"/>
        </row>
        <row r="14">
          <cell r="D14" t="str">
            <v>Parlamentsgebäude</v>
          </cell>
        </row>
        <row r="15">
          <cell r="D15" t="str">
            <v xml:space="preserve">Gerichtsgebäude </v>
          </cell>
        </row>
        <row r="16">
          <cell r="D16"/>
        </row>
        <row r="17">
          <cell r="D17" t="str">
            <v>Verwaltungsgebäude, normale techn. Ausstattung</v>
          </cell>
        </row>
        <row r="18">
          <cell r="D18"/>
        </row>
        <row r="19">
          <cell r="D19" t="str">
            <v>Ministerien</v>
          </cell>
        </row>
        <row r="20">
          <cell r="D20" t="str">
            <v>Verwaltungsgebäude, höhere techn. Ausstattung</v>
          </cell>
        </row>
        <row r="21">
          <cell r="D21" t="str">
            <v>Polizeidienstgebäude</v>
          </cell>
        </row>
        <row r="22">
          <cell r="D22" t="str">
            <v>Rechenzentren</v>
          </cell>
        </row>
        <row r="23">
          <cell r="D23" t="str">
            <v>Hörsaalgebäude</v>
          </cell>
        </row>
        <row r="24">
          <cell r="D24" t="str">
            <v>Institutsgebäude für Lehre und Forschung</v>
          </cell>
        </row>
        <row r="25">
          <cell r="D25" t="str">
            <v>Institutsgebäude I</v>
          </cell>
        </row>
        <row r="26">
          <cell r="D26"/>
        </row>
        <row r="27">
          <cell r="D27" t="str">
            <v>Institutsgebäude II</v>
          </cell>
        </row>
        <row r="28">
          <cell r="D28" t="str">
            <v>Institutsgebäude III</v>
          </cell>
        </row>
        <row r="29">
          <cell r="D29" t="str">
            <v>Institutsgebäude IV</v>
          </cell>
        </row>
        <row r="30">
          <cell r="D30" t="str">
            <v>Institutsgebäude V</v>
          </cell>
        </row>
        <row r="31">
          <cell r="D31" t="str">
            <v>Institutsgebäude für Forschung und Untersuchung</v>
          </cell>
        </row>
        <row r="32">
          <cell r="D32" t="str">
            <v>Fachhochschulen</v>
          </cell>
        </row>
        <row r="33">
          <cell r="D33" t="str">
            <v>Gebäude des Gesundheitswesens</v>
          </cell>
        </row>
        <row r="34">
          <cell r="D34" t="str">
            <v>Krankenhäuser und Unikliniken</v>
          </cell>
        </row>
        <row r="35">
          <cell r="D35" t="str">
            <v>Allgemeinbildende Schulen</v>
          </cell>
        </row>
        <row r="36">
          <cell r="D36"/>
        </row>
        <row r="37">
          <cell r="D37" t="str">
            <v>Berufsbildende Schulen</v>
          </cell>
        </row>
        <row r="38">
          <cell r="D38" t="str">
            <v>Sonderschulen</v>
          </cell>
        </row>
        <row r="39">
          <cell r="D39" t="str">
            <v>Kindertagesstätten</v>
          </cell>
        </row>
        <row r="40">
          <cell r="D40" t="str">
            <v>Weiterbildungseinrichtungen</v>
          </cell>
        </row>
        <row r="41">
          <cell r="D41" t="str">
            <v>Sportbauten</v>
          </cell>
        </row>
        <row r="42">
          <cell r="D42" t="str">
            <v>Hallen (ohne Schwimmhallen)</v>
          </cell>
        </row>
        <row r="43">
          <cell r="D43" t="str">
            <v>Schwimmhallen</v>
          </cell>
        </row>
        <row r="44">
          <cell r="D44" t="str">
            <v>Gebäude für Sportplatz- und Freibadeanlagen</v>
          </cell>
        </row>
        <row r="45">
          <cell r="D45" t="str">
            <v>Gemeinschaftsunterkünfte, Beherbungsstätten</v>
          </cell>
        </row>
        <row r="46">
          <cell r="D46" t="str">
            <v>Gebäude f. Prod., Werkstätten, Lagergebäude</v>
          </cell>
        </row>
        <row r="47">
          <cell r="D47"/>
        </row>
        <row r="48">
          <cell r="D48" t="str">
            <v>Gebäude für öffentliche Bereitschaftsdienste</v>
          </cell>
        </row>
        <row r="49">
          <cell r="D49" t="str">
            <v>Bauwerke für technische Zwecke</v>
          </cell>
        </row>
        <row r="50">
          <cell r="D50" t="str">
            <v>Gebäude für kulturelle und musische Zwecke</v>
          </cell>
        </row>
        <row r="51">
          <cell r="D51" t="str">
            <v>Ausstellungsgebäude</v>
          </cell>
        </row>
        <row r="52">
          <cell r="D52" t="str">
            <v>Bibliotheksgebäude</v>
          </cell>
        </row>
        <row r="53">
          <cell r="D53" t="str">
            <v>Veranstaltungsgebäude</v>
          </cell>
        </row>
        <row r="54">
          <cell r="D54" t="str">
            <v>Gemeinschaftshäuser</v>
          </cell>
        </row>
        <row r="55">
          <cell r="D55" t="str">
            <v>Justizvollzugsanstalten</v>
          </cell>
        </row>
        <row r="56">
          <cell r="D56" t="str">
            <v>Freizeitzentren, Jugendhäuser, 
Gemeindehäuser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menü"/>
      <sheetName val="EB1996"/>
      <sheetName val="EB1997"/>
      <sheetName val="EB1998"/>
      <sheetName val="EB1999"/>
      <sheetName val="EB2000"/>
      <sheetName val="EB2001"/>
      <sheetName val="EB2002"/>
      <sheetName val="EB2003"/>
      <sheetName val="EB2004"/>
      <sheetName val="EB2005"/>
      <sheetName val="EB2006"/>
      <sheetName val="EB2007"/>
      <sheetName val="EB2008"/>
      <sheetName val="EB2009"/>
      <sheetName val="EB2010"/>
      <sheetName val="EB2011"/>
      <sheetName val="EB2012"/>
      <sheetName val="EB2013"/>
      <sheetName val="EB2014"/>
      <sheetName val="EB2015"/>
      <sheetName val="EB2007 EE"/>
      <sheetName val="EB2008 EE"/>
      <sheetName val="EB2009 EE"/>
      <sheetName val="EB2010 EE"/>
      <sheetName val="EB2011 EE"/>
      <sheetName val="EB2012 EE"/>
      <sheetName val="EB2013 EE"/>
      <sheetName val="EB2014 EE"/>
      <sheetName val="EB2015 EE"/>
      <sheetName val="Raumwärmeanteil Sektoren"/>
      <sheetName val="Temperaturkorrekturfaktor"/>
      <sheetName val="Aktivitätsgrößen"/>
      <sheetName val="Aktivitätsgrößen Eingabe"/>
      <sheetName val="Raumwärmeanteil EB1996"/>
      <sheetName val="Raumwärmeanteil EB1997"/>
      <sheetName val="Raumwärmeanteil EB1998"/>
      <sheetName val="Raumwärmeanteil EB1999"/>
      <sheetName val="Raumwärmeanteil EB2000"/>
      <sheetName val="Raumwärmeanteil EB2001"/>
      <sheetName val="Raumwärmeanteil EB2002"/>
      <sheetName val="Raumwärmeanteil EB2003"/>
      <sheetName val="Raumwärmeanteil EB2004"/>
      <sheetName val="Raumwärmeanteil EB2005"/>
      <sheetName val="Raumwärmeanteil EB2006"/>
      <sheetName val="Raumwärmeanteil EB2007"/>
      <sheetName val="Raumwärmeanteil EB2008"/>
      <sheetName val="Raumwärmeanteil EB2009"/>
      <sheetName val="Raumwärmeanteil EB2010"/>
      <sheetName val="Raumwärmeanteil EB2011"/>
      <sheetName val="Raumwärmeanteil EB2012"/>
      <sheetName val="Raumwärmeanteil EB2013"/>
      <sheetName val="Raumwärmeanteil EB2014"/>
      <sheetName val="Raumwärmeanteil EB2015"/>
      <sheetName val="EB1996 Tber"/>
      <sheetName val="EB1997 Tber"/>
      <sheetName val="EB1998 Tber"/>
      <sheetName val="EB1999 Tber"/>
      <sheetName val="EB2000 Tber"/>
      <sheetName val="EB2001 Tber"/>
      <sheetName val="EB2002 Tber"/>
      <sheetName val="EB2003 Tber"/>
      <sheetName val="EB2004 Tber"/>
      <sheetName val="EB2005 Tber"/>
      <sheetName val="EB2006 Tber"/>
      <sheetName val="EB2007 Tber"/>
      <sheetName val="EB2008 Tber"/>
      <sheetName val="EB2009 Tber"/>
      <sheetName val="EB2010 Tber"/>
      <sheetName val="EB2011 Tber"/>
      <sheetName val="EB2012 Tber"/>
      <sheetName val="EB2013 Tber"/>
      <sheetName val="EB2014 Tber"/>
      <sheetName val="EB2015 Tber"/>
      <sheetName val="EB PEV Zusammenfassung ET"/>
      <sheetName val="EB Zusammenfassung ET"/>
      <sheetName val="EB Zusammenfassung Sektoren"/>
      <sheetName val="PEV Indikatoren Gesamt (IST)"/>
      <sheetName val="PEV Indikatoren Gesamt (Tber)"/>
      <sheetName val="EEV Indikator EW"/>
      <sheetName val="EEV Indikator Haushalt"/>
      <sheetName val="EEV Indikatoren VG"/>
      <sheetName val="EEV Indikatoren VG BWS"/>
      <sheetName val="EEV Indikatoren GHD"/>
      <sheetName val="EEV Indikatoren GHD BWS"/>
      <sheetName val="EEV Indikatoren Verkehr"/>
      <sheetName val="EEV Indikatoren Haushalte"/>
      <sheetName val="Änderungsrate EB2006 Tber"/>
      <sheetName val="Prognose EB2006 Tber"/>
      <sheetName val="Prognose EB2006"/>
      <sheetName val="Änderungsrate EB2007 Tber"/>
      <sheetName val="Prognose EB2007 Tber"/>
      <sheetName val="Prognose EB2007"/>
      <sheetName val="Änderungsrate EB2008 Tber"/>
      <sheetName val="Prognose EB2008 EE"/>
      <sheetName val="Prognose EB2008 Tber"/>
      <sheetName val="Prognose EB2008"/>
      <sheetName val="Änderungsrate EB2009 Tber"/>
      <sheetName val="Prognose EB2009 EE"/>
      <sheetName val="Prognose EB2009 Tber"/>
      <sheetName val="Prognose EB2009"/>
      <sheetName val="Änderungsrate EB2010 Tber"/>
      <sheetName val="Prognose EB2010 Tber"/>
      <sheetName val="Prognose EB2010"/>
      <sheetName val="Prognose EB2010 EE"/>
      <sheetName val="Änderungsrate EB2011 Tber"/>
      <sheetName val="Prognose EB2011 Tber"/>
      <sheetName val="Prognose EB2011"/>
      <sheetName val="Prognose EB2011 EE"/>
      <sheetName val="Änderungsrate EB2012 Tber"/>
      <sheetName val="Prognose EB2012 Tber"/>
      <sheetName val="Prognose EB2012"/>
      <sheetName val="Prognose EB2012 EE"/>
      <sheetName val="Änderungsrate EB2013 Tber"/>
      <sheetName val="Prognose EB2013 Tber"/>
      <sheetName val="Prognose EB2013"/>
      <sheetName val="Prognose EB2013 EE"/>
      <sheetName val="List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30">
          <cell r="E30">
            <v>1.1950000000000001</v>
          </cell>
          <cell r="F30">
            <v>1.0140000000000002</v>
          </cell>
          <cell r="G30">
            <v>0.95899999999999985</v>
          </cell>
          <cell r="H30">
            <v>0.92</v>
          </cell>
          <cell r="I30">
            <v>0.87149999999999994</v>
          </cell>
          <cell r="J30">
            <v>1</v>
          </cell>
          <cell r="K30">
            <v>0.94650000000000012</v>
          </cell>
          <cell r="L30">
            <v>0.98050000000000004</v>
          </cell>
          <cell r="M30">
            <v>0.98950000000000005</v>
          </cell>
          <cell r="N30">
            <v>0.99</v>
          </cell>
          <cell r="O30">
            <v>0.9395</v>
          </cell>
          <cell r="P30">
            <v>0.88650000000000007</v>
          </cell>
          <cell r="Q30">
            <v>0.91650000000000009</v>
          </cell>
          <cell r="R30">
            <v>0.95700000000000007</v>
          </cell>
          <cell r="S30">
            <v>1.1214999999999999</v>
          </cell>
          <cell r="T30">
            <v>0.89050000000000007</v>
          </cell>
          <cell r="U30">
            <v>0.96</v>
          </cell>
          <cell r="V30">
            <v>1.0151215394755195</v>
          </cell>
          <cell r="W30">
            <v>1</v>
          </cell>
          <cell r="X30">
            <v>1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rtmenü"/>
      <sheetName val="ECORegion_Endenergie_gesamt"/>
      <sheetName val="ECORegion_CO2_gesamt"/>
      <sheetName val="ECORegion_Endenergie_Verkehr"/>
      <sheetName val="ECORegion_CO2_Verkehr"/>
      <sheetName val="ECORegion_Endenergie_Haushalte"/>
      <sheetName val="ECORegion_CO2_Haushalte"/>
      <sheetName val="ECORegion_Endenergie_Wirtschaft"/>
      <sheetName val="ECORegion_CO2_Wirtschaft"/>
      <sheetName val="ECORegion_Endenergie_Kommune"/>
      <sheetName val="ECORegion_CO2_Kommune"/>
      <sheetName val="ECORegion_Netzeinspeisung"/>
      <sheetName val="Energieverbrauch stationär"/>
      <sheetName val="nicht leitungsgebunden"/>
      <sheetName val="Kommunale Zuständigkeit"/>
      <sheetName val="Energieerzeugung"/>
      <sheetName val="Datenerhebung (1)"/>
      <sheetName val="Datenerhebung (2)"/>
      <sheetName val="Strukturdaten"/>
      <sheetName val="SWM Absatz"/>
      <sheetName val="SWM Erzeugung"/>
      <sheetName val="MVB"/>
      <sheetName val="Energiebilanz ST"/>
      <sheetName val="Quellenbezeichnung ECORegion"/>
      <sheetName val="CO2-Faktoren"/>
      <sheetName val="Vergleich Endenergie"/>
      <sheetName val="ECORegion_alt_Strukturdaten"/>
      <sheetName val="ECORegion_alt_Endenergie"/>
      <sheetName val="ECORegion_alt_CO2-Emission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1">
          <cell r="H21">
            <v>409394.16100000002</v>
          </cell>
          <cell r="I21">
            <v>413518.28700000001</v>
          </cell>
          <cell r="J21">
            <v>421916.92099999997</v>
          </cell>
          <cell r="K21">
            <v>408397.71100000001</v>
          </cell>
          <cell r="L21">
            <v>401945.99800000002</v>
          </cell>
          <cell r="M21">
            <v>408994.79</v>
          </cell>
          <cell r="N21">
            <v>388259.34100000001</v>
          </cell>
          <cell r="O21">
            <v>391089.75799999997</v>
          </cell>
          <cell r="P21">
            <v>399034.23499999999</v>
          </cell>
          <cell r="Q21">
            <v>384699.67099999997</v>
          </cell>
          <cell r="R21">
            <v>374518.777</v>
          </cell>
          <cell r="S21">
            <v>383989.91399999999</v>
          </cell>
          <cell r="T21">
            <v>386539.43</v>
          </cell>
        </row>
        <row r="22">
          <cell r="H22">
            <v>615571.30099999998</v>
          </cell>
          <cell r="I22">
            <v>602246.47600000002</v>
          </cell>
          <cell r="J22">
            <v>626615.75</v>
          </cell>
          <cell r="K22">
            <v>596851.35800000001</v>
          </cell>
          <cell r="L22">
            <v>587152.10499999998</v>
          </cell>
          <cell r="M22">
            <v>578033.875</v>
          </cell>
          <cell r="N22">
            <v>575752.82999999996</v>
          </cell>
          <cell r="O22">
            <v>561265.071</v>
          </cell>
          <cell r="P22">
            <v>557980.73699999996</v>
          </cell>
          <cell r="Q22">
            <v>559705.06900000002</v>
          </cell>
          <cell r="R22">
            <v>547864.93700000003</v>
          </cell>
          <cell r="S22">
            <v>541043.80700000003</v>
          </cell>
          <cell r="T22">
            <v>514042.38299999997</v>
          </cell>
        </row>
        <row r="61">
          <cell r="M61">
            <v>1008984</v>
          </cell>
          <cell r="N61">
            <v>857699</v>
          </cell>
          <cell r="O61">
            <v>924803</v>
          </cell>
          <cell r="P61">
            <v>1008940</v>
          </cell>
          <cell r="Q61">
            <v>999420</v>
          </cell>
          <cell r="R61">
            <v>977661</v>
          </cell>
          <cell r="S61">
            <v>955603</v>
          </cell>
        </row>
        <row r="62">
          <cell r="M62">
            <v>433332</v>
          </cell>
          <cell r="N62">
            <v>368561</v>
          </cell>
          <cell r="O62">
            <v>391199</v>
          </cell>
          <cell r="P62">
            <v>400610</v>
          </cell>
          <cell r="Q62">
            <v>393532</v>
          </cell>
          <cell r="R62">
            <v>396437</v>
          </cell>
          <cell r="S62">
            <v>382791</v>
          </cell>
        </row>
        <row r="99">
          <cell r="N99">
            <v>301395.63199999993</v>
          </cell>
          <cell r="O99">
            <v>326691.50708999968</v>
          </cell>
          <cell r="P99">
            <v>344111.97506999969</v>
          </cell>
          <cell r="Q99">
            <v>338853.3054299996</v>
          </cell>
          <cell r="R99">
            <v>331918.70835999964</v>
          </cell>
          <cell r="S99">
            <v>322645.04651999939</v>
          </cell>
        </row>
        <row r="100">
          <cell r="N100">
            <v>34012.099999999991</v>
          </cell>
          <cell r="O100">
            <v>36550.400000000009</v>
          </cell>
          <cell r="P100">
            <v>35371.699999999997</v>
          </cell>
          <cell r="Q100">
            <v>35961.200000000004</v>
          </cell>
          <cell r="R100">
            <v>31329.163999999993</v>
          </cell>
          <cell r="S100">
            <v>31526.900000000005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>
        <row r="40">
          <cell r="V40">
            <v>246964.62056834996</v>
          </cell>
          <cell r="W40">
            <v>243256.56428697606</v>
          </cell>
          <cell r="X40">
            <v>239548.50800560135</v>
          </cell>
          <cell r="Y40">
            <v>235840.45172422746</v>
          </cell>
          <cell r="Z40">
            <v>232132.39544285275</v>
          </cell>
        </row>
        <row r="61">
          <cell r="V61">
            <v>17996.098004702224</v>
          </cell>
          <cell r="W61">
            <v>23840.004823919538</v>
          </cell>
          <cell r="X61">
            <v>16346.096851145399</v>
          </cell>
          <cell r="Y61">
            <v>19528.027374506149</v>
          </cell>
          <cell r="Z61">
            <v>16504.93340807343</v>
          </cell>
        </row>
        <row r="82">
          <cell r="V82">
            <v>58893.980706913942</v>
          </cell>
          <cell r="W82">
            <v>110862.42692339609</v>
          </cell>
          <cell r="X82">
            <v>54574.461996968414</v>
          </cell>
          <cell r="Y82">
            <v>72213.487012411919</v>
          </cell>
          <cell r="Z82">
            <v>58969.757127643876</v>
          </cell>
        </row>
      </sheetData>
      <sheetData sheetId="2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24B07-83ED-4530-9F6A-1B7A92D66BBE}">
  <dimension ref="A1:AF12"/>
  <sheetViews>
    <sheetView tabSelected="1" workbookViewId="0">
      <selection activeCell="A11" sqref="A11"/>
    </sheetView>
  </sheetViews>
  <sheetFormatPr baseColWidth="10" defaultRowHeight="15" x14ac:dyDescent="0.25"/>
  <cols>
    <col min="1" max="1" width="16.140625" customWidth="1"/>
    <col min="2" max="2" width="22.42578125" customWidth="1"/>
  </cols>
  <sheetData>
    <row r="1" spans="1:32" ht="23.25" x14ac:dyDescent="0.35">
      <c r="A1" s="13" t="s">
        <v>45</v>
      </c>
      <c r="C1" t="s">
        <v>43</v>
      </c>
    </row>
    <row r="2" spans="1:32" x14ac:dyDescent="0.25">
      <c r="A2" s="1" t="s">
        <v>0</v>
      </c>
      <c r="B2" s="2"/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</row>
    <row r="3" spans="1:32" x14ac:dyDescent="0.25">
      <c r="A3" s="4" t="s">
        <v>31</v>
      </c>
      <c r="B3" s="5"/>
      <c r="C3" s="6">
        <v>4723874.1300000008</v>
      </c>
      <c r="D3" s="6">
        <v>4053014.5700000008</v>
      </c>
      <c r="E3" s="6">
        <v>3380879.7299999995</v>
      </c>
      <c r="F3" s="6">
        <v>2710664.42</v>
      </c>
      <c r="G3" s="6">
        <v>2053909.6503621934</v>
      </c>
      <c r="H3" s="6">
        <v>2019907.39</v>
      </c>
      <c r="I3" s="6">
        <v>1962053.6400000001</v>
      </c>
      <c r="J3" s="6">
        <v>1879420.2300000002</v>
      </c>
      <c r="K3" s="6">
        <v>1772186.6560813321</v>
      </c>
      <c r="L3" s="6">
        <v>1879875.5099999998</v>
      </c>
      <c r="M3" s="6">
        <v>1981629.65079545</v>
      </c>
      <c r="N3" s="6">
        <v>2079828.5190986763</v>
      </c>
      <c r="O3" s="6">
        <v>2060318.1021659097</v>
      </c>
      <c r="P3" s="6">
        <v>2039434.8571418873</v>
      </c>
      <c r="Q3" s="6">
        <v>1997055.6350583343</v>
      </c>
      <c r="R3" s="6">
        <v>1954480.4444888581</v>
      </c>
      <c r="S3" s="6">
        <v>1916320.7519322066</v>
      </c>
      <c r="T3" s="6">
        <v>2021306.9417999997</v>
      </c>
      <c r="U3" s="6">
        <v>2081917.2180922129</v>
      </c>
      <c r="V3" s="6">
        <v>1978401.6443366183</v>
      </c>
      <c r="W3" s="6">
        <v>1936907.3177380029</v>
      </c>
      <c r="X3" s="6">
        <v>1975147.1893593955</v>
      </c>
      <c r="Y3" s="6">
        <v>1960442.4465967647</v>
      </c>
      <c r="Z3" s="6">
        <v>1915878.0298911475</v>
      </c>
      <c r="AA3" s="6">
        <v>1660869.4000000001</v>
      </c>
      <c r="AB3" s="6">
        <v>1467311.28</v>
      </c>
      <c r="AC3" s="6">
        <v>1555791.59</v>
      </c>
      <c r="AD3" s="6">
        <v>1530112.91</v>
      </c>
      <c r="AE3" s="6">
        <v>1521366.5799999998</v>
      </c>
      <c r="AF3" s="6">
        <v>1504940.6500000001</v>
      </c>
    </row>
    <row r="4" spans="1:32" x14ac:dyDescent="0.25">
      <c r="A4" s="7" t="s">
        <v>32</v>
      </c>
      <c r="B4" s="8"/>
      <c r="C4" s="9">
        <v>2923884.41</v>
      </c>
      <c r="D4" s="9">
        <v>2358899.0299999993</v>
      </c>
      <c r="E4" s="9">
        <v>1861384.04</v>
      </c>
      <c r="F4" s="9">
        <v>1432635.08</v>
      </c>
      <c r="G4" s="9">
        <v>965597.27999999991</v>
      </c>
      <c r="H4" s="9">
        <v>863505.23</v>
      </c>
      <c r="I4" s="9">
        <v>759666.31</v>
      </c>
      <c r="J4" s="9">
        <v>644746.87999999989</v>
      </c>
      <c r="K4" s="9">
        <v>579410.4800000001</v>
      </c>
      <c r="L4" s="9">
        <v>617557.14</v>
      </c>
      <c r="M4" s="9">
        <v>664932.02999999991</v>
      </c>
      <c r="N4" s="9">
        <v>702706.80000000028</v>
      </c>
      <c r="O4" s="9">
        <v>713445.79999999981</v>
      </c>
      <c r="P4" s="9">
        <v>743087.37999999989</v>
      </c>
      <c r="Q4" s="9">
        <v>718718.1599999998</v>
      </c>
      <c r="R4" s="9">
        <v>809233.6</v>
      </c>
      <c r="S4" s="9">
        <v>769681.35000000009</v>
      </c>
      <c r="T4" s="9">
        <v>657564.42479999992</v>
      </c>
      <c r="U4" s="9">
        <v>852223.16</v>
      </c>
      <c r="V4" s="9">
        <v>923314.55</v>
      </c>
      <c r="W4" s="9">
        <v>914735.5399999998</v>
      </c>
      <c r="X4" s="9">
        <v>878378.82</v>
      </c>
      <c r="Y4" s="9">
        <v>846746.26</v>
      </c>
      <c r="Z4" s="9">
        <v>801994.9</v>
      </c>
      <c r="AA4" s="9">
        <v>738725.97999999986</v>
      </c>
      <c r="AB4" s="9">
        <v>871402.60999999987</v>
      </c>
      <c r="AC4" s="9">
        <v>876629.62999999989</v>
      </c>
      <c r="AD4" s="9">
        <v>871708.74999999988</v>
      </c>
      <c r="AE4" s="9">
        <v>857921.02</v>
      </c>
      <c r="AF4" s="9">
        <v>840107.59999999986</v>
      </c>
    </row>
    <row r="5" spans="1:32" x14ac:dyDescent="0.25">
      <c r="A5" s="4" t="s">
        <v>33</v>
      </c>
      <c r="B5" s="5"/>
      <c r="C5" s="6">
        <v>1434961.4970566111</v>
      </c>
      <c r="D5" s="6">
        <v>1279721.8683956941</v>
      </c>
      <c r="E5" s="6">
        <v>1056389.9397095952</v>
      </c>
      <c r="F5" s="6">
        <v>765041.38102349627</v>
      </c>
      <c r="G5" s="6">
        <v>511928.67227825371</v>
      </c>
      <c r="H5" s="6">
        <v>439948.21363458986</v>
      </c>
      <c r="I5" s="6">
        <v>393160.71296607418</v>
      </c>
      <c r="J5" s="6">
        <v>381150.76128153794</v>
      </c>
      <c r="K5" s="6">
        <v>343456.89651852369</v>
      </c>
      <c r="L5" s="6">
        <v>393899.68791246554</v>
      </c>
      <c r="M5" s="6">
        <v>442309.06543247931</v>
      </c>
      <c r="N5" s="6">
        <v>506823.25761969941</v>
      </c>
      <c r="O5" s="6">
        <v>491362.1636819063</v>
      </c>
      <c r="P5" s="6">
        <v>519953.19450014731</v>
      </c>
      <c r="Q5" s="6">
        <v>527073.52465072402</v>
      </c>
      <c r="R5" s="6">
        <v>452306.80419761239</v>
      </c>
      <c r="S5" s="6">
        <v>499987.89986731741</v>
      </c>
      <c r="T5" s="6">
        <v>436387.77339961979</v>
      </c>
      <c r="U5" s="6">
        <v>604752.05544904701</v>
      </c>
      <c r="V5" s="6">
        <v>632685.20790953969</v>
      </c>
      <c r="W5" s="6">
        <v>566384.22055341292</v>
      </c>
      <c r="X5" s="6">
        <v>545605.87622850516</v>
      </c>
      <c r="Y5" s="6">
        <v>510962.32844204799</v>
      </c>
      <c r="Z5" s="6">
        <v>489741.64462147676</v>
      </c>
      <c r="AA5" s="6">
        <v>443259.23719851975</v>
      </c>
      <c r="AB5" s="6">
        <v>410332.67000000016</v>
      </c>
      <c r="AC5" s="6">
        <v>431433.77</v>
      </c>
      <c r="AD5" s="6">
        <v>438208.46000000008</v>
      </c>
      <c r="AE5" s="6">
        <v>479560.39999999985</v>
      </c>
      <c r="AF5" s="6">
        <v>472657.84999999969</v>
      </c>
    </row>
    <row r="6" spans="1:32" x14ac:dyDescent="0.25">
      <c r="A6" s="7" t="s">
        <v>34</v>
      </c>
      <c r="B6" s="8"/>
      <c r="C6" s="9">
        <v>219353.9829433889</v>
      </c>
      <c r="D6" s="9">
        <v>215837.29160430521</v>
      </c>
      <c r="E6" s="9">
        <v>212280.60029040449</v>
      </c>
      <c r="F6" s="9">
        <v>208723.90897650379</v>
      </c>
      <c r="G6" s="9">
        <v>205167.21766260307</v>
      </c>
      <c r="H6" s="9">
        <v>201620.5263654103</v>
      </c>
      <c r="I6" s="9">
        <v>198089.99703392599</v>
      </c>
      <c r="J6" s="9">
        <v>194597.85871846217</v>
      </c>
      <c r="K6" s="9">
        <v>191105.72040299838</v>
      </c>
      <c r="L6" s="9">
        <v>187613.58208753454</v>
      </c>
      <c r="M6" s="9">
        <v>184121.44377207066</v>
      </c>
      <c r="N6" s="9">
        <v>180629.30545660687</v>
      </c>
      <c r="O6" s="9">
        <v>175037.16596432391</v>
      </c>
      <c r="P6" s="9">
        <v>169051.20175578762</v>
      </c>
      <c r="Q6" s="9">
        <v>166758.21676672617</v>
      </c>
      <c r="R6" s="9">
        <v>162274.83687347011</v>
      </c>
      <c r="S6" s="9">
        <v>151606.34109832702</v>
      </c>
      <c r="T6" s="9">
        <v>136766.40000038026</v>
      </c>
      <c r="U6" s="9">
        <v>133410.61932453519</v>
      </c>
      <c r="V6" s="9">
        <v>132785.77352132247</v>
      </c>
      <c r="W6" s="9">
        <v>130349.91882263552</v>
      </c>
      <c r="X6" s="9">
        <v>135634.26509731065</v>
      </c>
      <c r="Y6" s="9">
        <v>127554.24405342774</v>
      </c>
      <c r="Z6" s="9">
        <v>115522.86854078184</v>
      </c>
      <c r="AA6" s="9">
        <v>98425.930000000008</v>
      </c>
      <c r="AB6" s="9">
        <v>82610.340000000011</v>
      </c>
      <c r="AC6" s="9">
        <v>85543.85</v>
      </c>
      <c r="AD6" s="9">
        <v>72287.039999999994</v>
      </c>
      <c r="AE6" s="9">
        <v>69107.69</v>
      </c>
      <c r="AF6" s="9">
        <v>67921.939999999988</v>
      </c>
    </row>
    <row r="7" spans="1:32" x14ac:dyDescent="0.25">
      <c r="A7" s="4" t="s">
        <v>35</v>
      </c>
      <c r="B7" s="5"/>
      <c r="C7" s="6">
        <v>749219.4833940703</v>
      </c>
      <c r="D7" s="6">
        <v>774061.74402928096</v>
      </c>
      <c r="E7" s="6">
        <v>811219.89170468471</v>
      </c>
      <c r="F7" s="6">
        <v>843177.25742327678</v>
      </c>
      <c r="G7" s="6">
        <v>884151.65578905179</v>
      </c>
      <c r="H7" s="6">
        <v>924795.8317882329</v>
      </c>
      <c r="I7" s="6">
        <v>944535.20020189357</v>
      </c>
      <c r="J7" s="6">
        <v>966813.75594976009</v>
      </c>
      <c r="K7" s="6">
        <v>983678.8916431932</v>
      </c>
      <c r="L7" s="6">
        <v>1005753.6288808178</v>
      </c>
      <c r="M7" s="6">
        <v>1025053.0337805365</v>
      </c>
      <c r="N7" s="6">
        <v>1033082.4649834303</v>
      </c>
      <c r="O7" s="6">
        <v>1035205.5071819568</v>
      </c>
      <c r="P7" s="6">
        <v>1048669.643982905</v>
      </c>
      <c r="Q7" s="6">
        <v>1059310.3860318181</v>
      </c>
      <c r="R7" s="6">
        <v>1072553.913436122</v>
      </c>
      <c r="S7" s="6">
        <v>1076735.3386587533</v>
      </c>
      <c r="T7" s="6">
        <v>1071194.7946435227</v>
      </c>
      <c r="U7" s="6">
        <v>1069828.9702136968</v>
      </c>
      <c r="V7" s="6">
        <v>1062299.1149959259</v>
      </c>
      <c r="W7" s="6">
        <v>1082372.0901975473</v>
      </c>
      <c r="X7" s="6">
        <v>1085479.4399081885</v>
      </c>
      <c r="Y7" s="6">
        <v>1076355.9425037096</v>
      </c>
      <c r="Z7" s="6">
        <v>1081456.9496970801</v>
      </c>
      <c r="AA7" s="6">
        <v>1088197.473972782</v>
      </c>
      <c r="AB7" s="6">
        <v>1085158.3149629536</v>
      </c>
      <c r="AC7" s="6">
        <v>1094997.0287975348</v>
      </c>
      <c r="AD7" s="6">
        <v>1101857.7930536207</v>
      </c>
      <c r="AE7" s="6">
        <v>1098429.7272920851</v>
      </c>
      <c r="AF7" s="6">
        <v>1105149.2050211122</v>
      </c>
    </row>
    <row r="8" spans="1:32" x14ac:dyDescent="0.25">
      <c r="A8" s="7" t="s">
        <v>36</v>
      </c>
      <c r="B8" s="8"/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7817.283212405996</v>
      </c>
      <c r="U8" s="9">
        <v>10684.856892969074</v>
      </c>
      <c r="V8" s="9">
        <v>15107.488071917651</v>
      </c>
      <c r="W8" s="9">
        <v>9327.1575011039349</v>
      </c>
      <c r="X8" s="9">
        <v>8726.0883464817798</v>
      </c>
      <c r="Y8" s="9">
        <v>8847.3435724695555</v>
      </c>
      <c r="Z8" s="9">
        <v>7414.4452069747158</v>
      </c>
      <c r="AA8" s="9">
        <v>8673.4534695430229</v>
      </c>
      <c r="AB8" s="9">
        <v>8929.7526227015733</v>
      </c>
      <c r="AC8" s="9">
        <v>8985.6930906858233</v>
      </c>
      <c r="AD8" s="9">
        <v>8641.0492793467347</v>
      </c>
      <c r="AE8" s="9">
        <v>8495.3371247195118</v>
      </c>
      <c r="AF8" s="9">
        <v>8927.7673352816564</v>
      </c>
    </row>
    <row r="9" spans="1:32" x14ac:dyDescent="0.25">
      <c r="A9" s="4" t="s">
        <v>37</v>
      </c>
      <c r="B9" s="5"/>
      <c r="C9" s="10">
        <f>SUM(C3:C8)</f>
        <v>10051293.503394071</v>
      </c>
      <c r="D9" s="10">
        <f t="shared" ref="D9:AF9" si="0">SUM(D3:D8)</f>
        <v>8681534.5040292796</v>
      </c>
      <c r="E9" s="10">
        <f t="shared" si="0"/>
        <v>7322154.2017046846</v>
      </c>
      <c r="F9" s="10">
        <f t="shared" si="0"/>
        <v>5960242.0474232771</v>
      </c>
      <c r="G9" s="10">
        <f t="shared" si="0"/>
        <v>4620754.476092102</v>
      </c>
      <c r="H9" s="10">
        <f t="shared" si="0"/>
        <v>4449777.1917882329</v>
      </c>
      <c r="I9" s="10">
        <f t="shared" si="0"/>
        <v>4257505.8602018943</v>
      </c>
      <c r="J9" s="10">
        <f t="shared" si="0"/>
        <v>4066729.4859497603</v>
      </c>
      <c r="K9" s="10">
        <f t="shared" si="0"/>
        <v>3869838.6446460476</v>
      </c>
      <c r="L9" s="10">
        <f t="shared" si="0"/>
        <v>4084699.5488808178</v>
      </c>
      <c r="M9" s="10">
        <f t="shared" si="0"/>
        <v>4298045.2237805361</v>
      </c>
      <c r="N9" s="10">
        <f t="shared" si="0"/>
        <v>4503070.3471584134</v>
      </c>
      <c r="O9" s="10">
        <f t="shared" si="0"/>
        <v>4475368.7389940964</v>
      </c>
      <c r="P9" s="10">
        <f t="shared" si="0"/>
        <v>4520196.2773807272</v>
      </c>
      <c r="Q9" s="10">
        <f t="shared" si="0"/>
        <v>4468915.9225076027</v>
      </c>
      <c r="R9" s="10">
        <f t="shared" si="0"/>
        <v>4450849.5989960628</v>
      </c>
      <c r="S9" s="10">
        <f t="shared" si="0"/>
        <v>4414331.6815566048</v>
      </c>
      <c r="T9" s="10">
        <f t="shared" si="0"/>
        <v>4331037.6178559279</v>
      </c>
      <c r="U9" s="10">
        <f t="shared" si="0"/>
        <v>4752816.8799724616</v>
      </c>
      <c r="V9" s="10">
        <f t="shared" si="0"/>
        <v>4744593.7788353236</v>
      </c>
      <c r="W9" s="10">
        <f t="shared" si="0"/>
        <v>4640076.2448127028</v>
      </c>
      <c r="X9" s="10">
        <f t="shared" si="0"/>
        <v>4628971.6789398817</v>
      </c>
      <c r="Y9" s="10">
        <f t="shared" si="0"/>
        <v>4530908.5651684189</v>
      </c>
      <c r="Z9" s="10">
        <f t="shared" si="0"/>
        <v>4412008.8379574614</v>
      </c>
      <c r="AA9" s="10">
        <f t="shared" si="0"/>
        <v>4038151.4746408449</v>
      </c>
      <c r="AB9" s="10">
        <f t="shared" si="0"/>
        <v>3925744.9675856545</v>
      </c>
      <c r="AC9" s="10">
        <f t="shared" si="0"/>
        <v>4053381.5618882203</v>
      </c>
      <c r="AD9" s="10">
        <f t="shared" si="0"/>
        <v>4022816.0023329672</v>
      </c>
      <c r="AE9" s="10">
        <f t="shared" si="0"/>
        <v>4034880.7544168038</v>
      </c>
      <c r="AF9" s="10">
        <f t="shared" si="0"/>
        <v>3999705.0123563935</v>
      </c>
    </row>
    <row r="11" spans="1:32" x14ac:dyDescent="0.25">
      <c r="A11" t="s">
        <v>38</v>
      </c>
      <c r="B11" s="4" t="s">
        <v>39</v>
      </c>
      <c r="C11" s="4" t="s">
        <v>40</v>
      </c>
    </row>
    <row r="12" spans="1:32" x14ac:dyDescent="0.25">
      <c r="B12" s="4" t="s">
        <v>41</v>
      </c>
      <c r="C12" s="12" t="s">
        <v>42</v>
      </c>
    </row>
  </sheetData>
  <pageMargins left="0.7" right="0.7" top="0.78740157499999996" bottom="0.78740157499999996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43236-242F-4EB5-910D-E4A4AAD88DAA}">
  <dimension ref="A1:AD12"/>
  <sheetViews>
    <sheetView workbookViewId="0">
      <selection activeCell="F11" sqref="F11"/>
    </sheetView>
  </sheetViews>
  <sheetFormatPr baseColWidth="10" defaultRowHeight="15" x14ac:dyDescent="0.25"/>
  <cols>
    <col min="2" max="2" width="22.28515625" customWidth="1"/>
  </cols>
  <sheetData>
    <row r="1" spans="1:30" ht="26.25" x14ac:dyDescent="0.45">
      <c r="A1" s="13" t="s">
        <v>44</v>
      </c>
    </row>
    <row r="2" spans="1:30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</row>
    <row r="3" spans="1:30" x14ac:dyDescent="0.25">
      <c r="A3" s="6">
        <v>1963424.9297918868</v>
      </c>
      <c r="B3" s="6">
        <v>1699094.5179876259</v>
      </c>
      <c r="C3" s="6">
        <v>1347571.3705406408</v>
      </c>
      <c r="D3" s="6">
        <v>1034652.625763084</v>
      </c>
      <c r="E3" s="6">
        <v>761383.42087867309</v>
      </c>
      <c r="F3" s="6">
        <v>739007.32647854742</v>
      </c>
      <c r="G3" s="6">
        <v>713833.41106744041</v>
      </c>
      <c r="H3" s="6">
        <v>679924.63431727863</v>
      </c>
      <c r="I3" s="6">
        <v>641539.07155150035</v>
      </c>
      <c r="J3" s="6">
        <v>666025.12064317567</v>
      </c>
      <c r="K3" s="6">
        <v>694571.41372231324</v>
      </c>
      <c r="L3" s="6">
        <v>724948.61319597182</v>
      </c>
      <c r="M3" s="6">
        <v>724307.08428204176</v>
      </c>
      <c r="N3" s="6">
        <v>710243.82446993247</v>
      </c>
      <c r="O3" s="6">
        <v>673949.8769921643</v>
      </c>
      <c r="P3" s="6">
        <v>652793.75515283563</v>
      </c>
      <c r="Q3" s="6">
        <v>619002.29371973954</v>
      </c>
      <c r="R3" s="6">
        <v>610250.29179493303</v>
      </c>
      <c r="S3" s="6">
        <v>644797.37304853252</v>
      </c>
      <c r="T3" s="6">
        <v>618134.09931507159</v>
      </c>
      <c r="U3" s="6">
        <v>602781.87123585271</v>
      </c>
      <c r="V3" s="6">
        <v>605249.81468739116</v>
      </c>
      <c r="W3" s="6">
        <v>600884.93712121749</v>
      </c>
      <c r="X3" s="6">
        <v>577065.2200375878</v>
      </c>
      <c r="Y3" s="6">
        <v>507346.03122856829</v>
      </c>
      <c r="Z3" s="6">
        <v>459526.93973425677</v>
      </c>
      <c r="AA3" s="6">
        <v>473563.55612523149</v>
      </c>
      <c r="AB3" s="6">
        <v>455252.82661225414</v>
      </c>
      <c r="AC3" s="6">
        <v>447460.1889573806</v>
      </c>
      <c r="AD3" s="6">
        <v>423696.28900118702</v>
      </c>
    </row>
    <row r="4" spans="1:30" x14ac:dyDescent="0.25">
      <c r="A4" s="9">
        <v>1286713.4713331065</v>
      </c>
      <c r="B4" s="9">
        <v>1066404.8598284973</v>
      </c>
      <c r="C4" s="9">
        <v>819522.57150455262</v>
      </c>
      <c r="D4" s="9">
        <v>629290.92072756786</v>
      </c>
      <c r="E4" s="9">
        <v>426880.32010331529</v>
      </c>
      <c r="F4" s="9">
        <v>392928.55706445489</v>
      </c>
      <c r="G4" s="9">
        <v>362243.60176537017</v>
      </c>
      <c r="H4" s="9">
        <v>323785.46832411119</v>
      </c>
      <c r="I4" s="9">
        <v>303741.59221224854</v>
      </c>
      <c r="J4" s="9">
        <v>307539.01658879116</v>
      </c>
      <c r="K4" s="9">
        <v>321691.24242980964</v>
      </c>
      <c r="L4" s="9">
        <v>332925.03886865254</v>
      </c>
      <c r="M4" s="9">
        <v>342885.71656553552</v>
      </c>
      <c r="N4" s="9">
        <v>346638.37859941542</v>
      </c>
      <c r="O4" s="9">
        <v>330095.63263992657</v>
      </c>
      <c r="P4" s="9">
        <v>358931.77206180256</v>
      </c>
      <c r="Q4" s="9">
        <v>347451.39740006934</v>
      </c>
      <c r="R4" s="9">
        <v>268898.47197489935</v>
      </c>
      <c r="S4" s="9">
        <v>382880.36169740977</v>
      </c>
      <c r="T4" s="9">
        <v>390033.45936684497</v>
      </c>
      <c r="U4" s="9">
        <v>387782.22938713117</v>
      </c>
      <c r="V4" s="9">
        <v>378204.04793380568</v>
      </c>
      <c r="W4" s="9">
        <v>372645.24634462065</v>
      </c>
      <c r="X4" s="9">
        <v>352488.25301658537</v>
      </c>
      <c r="Y4" s="9">
        <v>331203.97006570001</v>
      </c>
      <c r="Z4" s="9">
        <v>349958.76616812503</v>
      </c>
      <c r="AA4" s="9">
        <v>341975.1806831655</v>
      </c>
      <c r="AB4" s="9">
        <v>330641.32392907853</v>
      </c>
      <c r="AC4" s="9">
        <v>321308.57753389829</v>
      </c>
      <c r="AD4" s="9">
        <v>290438.26698143606</v>
      </c>
    </row>
    <row r="5" spans="1:30" x14ac:dyDescent="0.25">
      <c r="A5" s="6">
        <v>590555.87406074244</v>
      </c>
      <c r="B5" s="6">
        <v>517434.43905423838</v>
      </c>
      <c r="C5" s="6">
        <v>397286.61380445876</v>
      </c>
      <c r="D5" s="6">
        <v>276689.7684226479</v>
      </c>
      <c r="E5" s="6">
        <v>174021.37002563701</v>
      </c>
      <c r="F5" s="6">
        <v>154611.43480026757</v>
      </c>
      <c r="G5" s="6">
        <v>143425.58143826752</v>
      </c>
      <c r="H5" s="6">
        <v>144307.14591862171</v>
      </c>
      <c r="I5" s="6">
        <v>135871.08358927132</v>
      </c>
      <c r="J5" s="6">
        <v>148526.76307610559</v>
      </c>
      <c r="K5" s="6">
        <v>159089.07340388588</v>
      </c>
      <c r="L5" s="6">
        <v>177677.28283658251</v>
      </c>
      <c r="M5" s="6">
        <v>173847.57980634351</v>
      </c>
      <c r="N5" s="6">
        <v>178932.75269348302</v>
      </c>
      <c r="O5" s="6">
        <v>173863.81355760148</v>
      </c>
      <c r="P5" s="6">
        <v>151961.62595344248</v>
      </c>
      <c r="Q5" s="6">
        <v>165001.58704975768</v>
      </c>
      <c r="R5" s="6">
        <v>140798.06623119954</v>
      </c>
      <c r="S5" s="6">
        <v>229801.0079631242</v>
      </c>
      <c r="T5" s="6">
        <v>219561.2062251452</v>
      </c>
      <c r="U5" s="6">
        <v>206558.01827209332</v>
      </c>
      <c r="V5" s="6">
        <v>196613.86618429929</v>
      </c>
      <c r="W5" s="6">
        <v>189360.19094493488</v>
      </c>
      <c r="X5" s="6">
        <v>182090.38491178295</v>
      </c>
      <c r="Y5" s="6">
        <v>168238.73868611667</v>
      </c>
      <c r="Z5" s="6">
        <v>160366.53039204751</v>
      </c>
      <c r="AA5" s="6">
        <v>161079.15586896194</v>
      </c>
      <c r="AB5" s="6">
        <v>161070.77770705958</v>
      </c>
      <c r="AC5" s="6">
        <v>156445.34058085855</v>
      </c>
      <c r="AD5" s="6">
        <v>142183.27089022042</v>
      </c>
    </row>
    <row r="6" spans="1:30" x14ac:dyDescent="0.25">
      <c r="A6" s="9">
        <v>119279.46640069372</v>
      </c>
      <c r="B6" s="9">
        <v>119048.06190952336</v>
      </c>
      <c r="C6" s="9">
        <v>106986.62915652434</v>
      </c>
      <c r="D6" s="9">
        <v>99669.503740317712</v>
      </c>
      <c r="E6" s="9">
        <v>97820.644826730291</v>
      </c>
      <c r="F6" s="9">
        <v>94307.94108708296</v>
      </c>
      <c r="G6" s="9">
        <v>91855.626071274746</v>
      </c>
      <c r="H6" s="9">
        <v>89079.431598649739</v>
      </c>
      <c r="I6" s="9">
        <v>86866.441065887251</v>
      </c>
      <c r="J6" s="9">
        <v>84044.090655692344</v>
      </c>
      <c r="K6" s="9">
        <v>82395.716514079555</v>
      </c>
      <c r="L6" s="9">
        <v>81362.808709350284</v>
      </c>
      <c r="M6" s="9">
        <v>80601.356936122451</v>
      </c>
      <c r="N6" s="9">
        <v>77863.848420076829</v>
      </c>
      <c r="O6" s="9">
        <v>72803.36558739157</v>
      </c>
      <c r="P6" s="9">
        <v>70101.18627832424</v>
      </c>
      <c r="Q6" s="9">
        <v>64163.861132681704</v>
      </c>
      <c r="R6" s="9">
        <v>44897.400175678005</v>
      </c>
      <c r="S6" s="9">
        <v>44304.747742528481</v>
      </c>
      <c r="T6" s="9">
        <v>44900.084692125623</v>
      </c>
      <c r="U6" s="9">
        <v>45079.164825487809</v>
      </c>
      <c r="V6" s="9">
        <v>45874.048669145828</v>
      </c>
      <c r="W6" s="9">
        <v>44152.97689118384</v>
      </c>
      <c r="X6" s="9">
        <v>39991.415076588761</v>
      </c>
      <c r="Y6" s="9">
        <v>35611.973980532544</v>
      </c>
      <c r="Z6" s="9">
        <v>26038.491090831849</v>
      </c>
      <c r="AA6" s="9">
        <v>26118.05571724473</v>
      </c>
      <c r="AB6" s="9">
        <v>18858.03394549642</v>
      </c>
      <c r="AC6" s="9">
        <v>17864.126215577722</v>
      </c>
      <c r="AD6" s="9">
        <v>16725.986738464231</v>
      </c>
    </row>
    <row r="7" spans="1:30" x14ac:dyDescent="0.25">
      <c r="A7" s="6">
        <v>278288.07613312243</v>
      </c>
      <c r="B7" s="6">
        <v>283387.84501629742</v>
      </c>
      <c r="C7" s="6">
        <v>291195.3950340813</v>
      </c>
      <c r="D7" s="6">
        <v>298851.56648862094</v>
      </c>
      <c r="E7" s="6">
        <v>312724.00052163994</v>
      </c>
      <c r="F7" s="6">
        <v>323706.80071227835</v>
      </c>
      <c r="G7" s="6">
        <v>328592.5255968392</v>
      </c>
      <c r="H7" s="6">
        <v>334409.3440152643</v>
      </c>
      <c r="I7" s="6">
        <v>338379.60891575337</v>
      </c>
      <c r="J7" s="6">
        <v>344931.42103732552</v>
      </c>
      <c r="K7" s="6">
        <v>350709.95893101674</v>
      </c>
      <c r="L7" s="6">
        <v>352509.84101894364</v>
      </c>
      <c r="M7" s="6">
        <v>352972.15436394047</v>
      </c>
      <c r="N7" s="6">
        <v>357461.2990169815</v>
      </c>
      <c r="O7" s="6">
        <v>358399.22050270392</v>
      </c>
      <c r="P7" s="6">
        <v>359099.99387038179</v>
      </c>
      <c r="Q7" s="6">
        <v>354080.07637702877</v>
      </c>
      <c r="R7" s="6">
        <v>349486.49927681236</v>
      </c>
      <c r="S7" s="6">
        <v>352004.26571507799</v>
      </c>
      <c r="T7" s="6">
        <v>346647.38665983774</v>
      </c>
      <c r="U7" s="6">
        <v>351719.53017478279</v>
      </c>
      <c r="V7" s="6">
        <v>354181.14987618441</v>
      </c>
      <c r="W7" s="6">
        <v>352366.60685057734</v>
      </c>
      <c r="X7" s="6">
        <v>355297.9772113791</v>
      </c>
      <c r="Y7" s="6">
        <v>356955.92021281016</v>
      </c>
      <c r="Z7" s="6">
        <v>358965.20713541744</v>
      </c>
      <c r="AA7" s="6">
        <v>360322.00924051442</v>
      </c>
      <c r="AB7" s="6">
        <v>360768.31860015442</v>
      </c>
      <c r="AC7" s="6">
        <v>357637.86400812329</v>
      </c>
      <c r="AD7" s="6">
        <v>356739.92099625117</v>
      </c>
    </row>
    <row r="8" spans="1:30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>
        <v>2006.4254943693977</v>
      </c>
      <c r="S8" s="9">
        <v>2294.475684184099</v>
      </c>
      <c r="T8" s="9">
        <v>4889.7124722392109</v>
      </c>
      <c r="U8" s="9">
        <v>3020.8183585557749</v>
      </c>
      <c r="V8" s="9">
        <v>2828.7667710735363</v>
      </c>
      <c r="W8" s="9">
        <v>2870.6127324745657</v>
      </c>
      <c r="X8" s="9">
        <v>2403.1003570992862</v>
      </c>
      <c r="Y8" s="9">
        <v>2819.7287437482623</v>
      </c>
      <c r="Z8" s="9">
        <v>2906.423449207763</v>
      </c>
      <c r="AA8" s="9">
        <v>2927.0369648936212</v>
      </c>
      <c r="AB8" s="9">
        <v>2816.9532622592433</v>
      </c>
      <c r="AC8" s="9">
        <v>2770.6334187649468</v>
      </c>
      <c r="AD8" s="9">
        <v>2914.282730644235</v>
      </c>
    </row>
    <row r="11" spans="1:30" x14ac:dyDescent="0.25">
      <c r="A11" t="s">
        <v>38</v>
      </c>
      <c r="B11" s="4" t="s">
        <v>39</v>
      </c>
      <c r="C11" s="4" t="s">
        <v>40</v>
      </c>
    </row>
    <row r="12" spans="1:30" x14ac:dyDescent="0.25">
      <c r="B12" s="4" t="s">
        <v>41</v>
      </c>
      <c r="C12" s="12" t="s">
        <v>42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2EF43-12A4-43A5-B4B7-91847403A48D}">
  <sheetPr codeName="Tabelle2">
    <tabColor theme="8" tint="0.79998168889431442"/>
  </sheetPr>
  <dimension ref="A1:Z52"/>
  <sheetViews>
    <sheetView showGridLines="0" zoomScale="90" zoomScaleNormal="90" zoomScaleSheetLayoutView="90"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L4" sqref="L4"/>
    </sheetView>
  </sheetViews>
  <sheetFormatPr baseColWidth="10" defaultColWidth="11.42578125" defaultRowHeight="15" outlineLevelCol="1" x14ac:dyDescent="0.25"/>
  <cols>
    <col min="1" max="1" width="6.7109375" style="5" customWidth="1"/>
    <col min="2" max="2" width="2.5703125" style="5" customWidth="1"/>
    <col min="3" max="3" width="22" style="5" customWidth="1"/>
    <col min="4" max="4" width="5.28515625" style="5" customWidth="1"/>
    <col min="5" max="5" width="27.140625" style="5" customWidth="1"/>
    <col min="6" max="6" width="21.42578125" style="5" customWidth="1"/>
    <col min="7" max="7" width="10.85546875" style="15" customWidth="1"/>
    <col min="8" max="14" width="10.85546875" style="5" customWidth="1" outlineLevel="1"/>
    <col min="15" max="20" width="10.85546875" style="5" customWidth="1"/>
    <col min="21" max="23" width="11.42578125" style="5"/>
    <col min="24" max="24" width="3.140625" style="5" customWidth="1"/>
    <col min="25" max="25" width="6" style="5" customWidth="1"/>
    <col min="26" max="16384" width="11.42578125" style="5"/>
  </cols>
  <sheetData>
    <row r="1" spans="1:26" ht="32.1" customHeight="1" x14ac:dyDescent="0.25"/>
    <row r="2" spans="1:26" ht="23.25" x14ac:dyDescent="0.35">
      <c r="B2" s="13" t="s">
        <v>76</v>
      </c>
      <c r="C2" s="88"/>
      <c r="F2" s="87" t="s">
        <v>75</v>
      </c>
      <c r="J2" s="5" t="s">
        <v>69</v>
      </c>
      <c r="K2" t="s">
        <v>38</v>
      </c>
      <c r="M2" s="5" t="s">
        <v>77</v>
      </c>
    </row>
    <row r="3" spans="1:26" ht="11.25" customHeight="1" x14ac:dyDescent="0.35">
      <c r="B3" s="13"/>
    </row>
    <row r="4" spans="1:26" ht="15" customHeight="1" thickBot="1" x14ac:dyDescent="0.45">
      <c r="B4" s="58"/>
      <c r="C4" s="89" t="s">
        <v>46</v>
      </c>
      <c r="D4" s="89"/>
    </row>
    <row r="5" spans="1:26" ht="15" customHeight="1" x14ac:dyDescent="0.25">
      <c r="B5" s="57"/>
      <c r="C5" s="89"/>
      <c r="D5" s="89"/>
      <c r="E5" s="56"/>
      <c r="F5" s="56"/>
      <c r="G5" s="55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6" s="16" customFormat="1" ht="15.75" x14ac:dyDescent="0.25">
      <c r="A6" s="5"/>
      <c r="B6" s="27"/>
      <c r="C6" s="53" t="s">
        <v>60</v>
      </c>
      <c r="D6" s="52"/>
      <c r="E6" s="52"/>
      <c r="F6" s="52" t="s">
        <v>74</v>
      </c>
      <c r="G6" s="51" t="s">
        <v>59</v>
      </c>
      <c r="H6" s="14">
        <v>2008</v>
      </c>
      <c r="I6" s="14">
        <v>2009</v>
      </c>
      <c r="J6" s="14">
        <v>2010</v>
      </c>
      <c r="K6" s="14">
        <v>2011</v>
      </c>
      <c r="L6" s="14">
        <v>2012</v>
      </c>
      <c r="M6" s="14">
        <v>2013</v>
      </c>
      <c r="N6" s="14">
        <v>2014</v>
      </c>
      <c r="O6" s="14">
        <v>2015</v>
      </c>
      <c r="P6" s="14">
        <v>2016</v>
      </c>
      <c r="Q6" s="14">
        <v>2017</v>
      </c>
      <c r="R6" s="14">
        <v>2018</v>
      </c>
      <c r="S6" s="14">
        <v>2019</v>
      </c>
      <c r="T6" s="14">
        <v>2020</v>
      </c>
    </row>
    <row r="7" spans="1:26" s="16" customFormat="1" ht="6" customHeight="1" x14ac:dyDescent="0.25">
      <c r="A7" s="5"/>
      <c r="B7" s="27"/>
      <c r="C7" s="37"/>
      <c r="D7" s="37"/>
      <c r="E7" s="37"/>
      <c r="F7" s="37"/>
      <c r="G7" s="4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</row>
    <row r="8" spans="1:26" s="16" customFormat="1" ht="18.75" customHeight="1" x14ac:dyDescent="0.3">
      <c r="A8" s="5"/>
      <c r="B8" s="27"/>
      <c r="C8" s="50" t="s">
        <v>73</v>
      </c>
      <c r="D8" s="48"/>
      <c r="E8" s="48"/>
      <c r="F8" s="48"/>
      <c r="G8" s="49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X8" s="33"/>
      <c r="Y8" s="33"/>
      <c r="Z8" s="33"/>
    </row>
    <row r="9" spans="1:26" s="16" customFormat="1" ht="6" customHeight="1" x14ac:dyDescent="0.25">
      <c r="A9" s="5"/>
      <c r="B9" s="27"/>
      <c r="C9" s="37"/>
      <c r="D9" s="37"/>
      <c r="E9" s="37"/>
      <c r="F9" s="37"/>
      <c r="G9" s="4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W9" s="33"/>
      <c r="X9" s="33"/>
      <c r="Y9" s="33"/>
      <c r="Z9" s="33"/>
    </row>
    <row r="10" spans="1:26" x14ac:dyDescent="0.25">
      <c r="B10" s="27"/>
      <c r="C10" s="11" t="s">
        <v>57</v>
      </c>
      <c r="G10" s="42" t="s">
        <v>49</v>
      </c>
      <c r="H10" s="45">
        <f t="shared" ref="H10:T10" si="0">H11+H12+H14</f>
        <v>1024965.4620000001</v>
      </c>
      <c r="I10" s="45">
        <f t="shared" si="0"/>
        <v>1015764.763</v>
      </c>
      <c r="J10" s="45">
        <f t="shared" si="0"/>
        <v>1048532.6709999999</v>
      </c>
      <c r="K10" s="45">
        <f t="shared" si="0"/>
        <v>1005249.069</v>
      </c>
      <c r="L10" s="45">
        <f t="shared" si="0"/>
        <v>989098.103</v>
      </c>
      <c r="M10" s="45">
        <f t="shared" si="0"/>
        <v>987028.66500000004</v>
      </c>
      <c r="N10" s="45">
        <f t="shared" si="0"/>
        <v>964012.17099999986</v>
      </c>
      <c r="O10" s="45">
        <f t="shared" si="0"/>
        <v>952354.82899999991</v>
      </c>
      <c r="P10" s="45">
        <f t="shared" si="0"/>
        <v>957014.97200000007</v>
      </c>
      <c r="Q10" s="45">
        <f t="shared" si="0"/>
        <v>944404.74</v>
      </c>
      <c r="R10" s="45">
        <f t="shared" si="0"/>
        <v>922383.71399999992</v>
      </c>
      <c r="S10" s="45">
        <f t="shared" si="0"/>
        <v>925033.7209999999</v>
      </c>
      <c r="T10" s="45">
        <f t="shared" si="0"/>
        <v>900581.81299999985</v>
      </c>
      <c r="W10" s="33" t="s">
        <v>67</v>
      </c>
    </row>
    <row r="11" spans="1:26" x14ac:dyDescent="0.25">
      <c r="B11" s="27"/>
      <c r="C11" s="26" t="s">
        <v>31</v>
      </c>
      <c r="D11" s="8"/>
      <c r="E11" s="8"/>
      <c r="F11" s="25" t="s">
        <v>51</v>
      </c>
      <c r="G11" s="32" t="s">
        <v>49</v>
      </c>
      <c r="H11" s="29">
        <f>$Y11*'[4]SWM Absatz'!H21</f>
        <v>368454.74490000005</v>
      </c>
      <c r="I11" s="29">
        <f>$Y11*'[4]SWM Absatz'!I21</f>
        <v>372166.4583</v>
      </c>
      <c r="J11" s="29">
        <f>$Y11*'[4]SWM Absatz'!J21</f>
        <v>379725.22889999999</v>
      </c>
      <c r="K11" s="29">
        <f>$Y11*'[4]SWM Absatz'!K21</f>
        <v>367557.9399</v>
      </c>
      <c r="L11" s="29">
        <f>$Y11*'[4]SWM Absatz'!L21</f>
        <v>361751.39820000005</v>
      </c>
      <c r="M11" s="29">
        <f>$Y11*'[4]SWM Absatz'!M21</f>
        <v>368095.31099999999</v>
      </c>
      <c r="N11" s="29">
        <f>$Y11*'[4]SWM Absatz'!N21</f>
        <v>349433.4069</v>
      </c>
      <c r="O11" s="29">
        <f>$Y11*'[4]SWM Absatz'!O21</f>
        <v>351980.78219999996</v>
      </c>
      <c r="P11" s="29">
        <f>$Y11*'[4]SWM Absatz'!P21</f>
        <v>359130.81150000001</v>
      </c>
      <c r="Q11" s="29">
        <f>$Y11*'[4]SWM Absatz'!Q21</f>
        <v>346229.70389999996</v>
      </c>
      <c r="R11" s="29">
        <f>$Y11*'[4]SWM Absatz'!R21</f>
        <v>337066.89929999999</v>
      </c>
      <c r="S11" s="29">
        <f>$Y11*'[4]SWM Absatz'!S21</f>
        <v>345590.92259999999</v>
      </c>
      <c r="T11" s="29">
        <f>$Y11*'[4]SWM Absatz'!T21</f>
        <v>347885.48700000002</v>
      </c>
      <c r="W11" s="22" t="s">
        <v>31</v>
      </c>
      <c r="X11" s="21"/>
      <c r="Y11" s="28">
        <v>0.9</v>
      </c>
      <c r="Z11" s="44" t="s">
        <v>66</v>
      </c>
    </row>
    <row r="12" spans="1:26" x14ac:dyDescent="0.25">
      <c r="B12" s="27"/>
      <c r="C12" s="43" t="s">
        <v>55</v>
      </c>
      <c r="F12" s="21" t="s">
        <v>51</v>
      </c>
      <c r="G12" s="42" t="s">
        <v>49</v>
      </c>
      <c r="H12" s="39">
        <f>$Y12*'[4]SWM Absatz'!H21+$Y13*'[4]SWM Absatz'!H22</f>
        <v>225610.8064</v>
      </c>
      <c r="I12" s="39">
        <f>$Y12*'[4]SWM Absatz'!I21+$Y13*'[4]SWM Absatz'!I22</f>
        <v>222025.7715</v>
      </c>
      <c r="J12" s="39">
        <f>$Y12*'[4]SWM Absatz'!J21+$Y13*'[4]SWM Absatz'!J22</f>
        <v>230176.41710000002</v>
      </c>
      <c r="K12" s="39">
        <f>$Y12*'[4]SWM Absatz'!K21+$Y13*'[4]SWM Absatz'!K22</f>
        <v>219895.17850000001</v>
      </c>
      <c r="L12" s="39">
        <f>$Y12*'[4]SWM Absatz'!L21+$Y13*'[4]SWM Absatz'!L22</f>
        <v>216340.23129999998</v>
      </c>
      <c r="M12" s="39">
        <f>$Y12*'[4]SWM Absatz'!M21+$Y13*'[4]SWM Absatz'!M22</f>
        <v>214309.6415</v>
      </c>
      <c r="N12" s="39">
        <f>$Y12*'[4]SWM Absatz'!N21+$Y13*'[4]SWM Absatz'!N22</f>
        <v>211551.7831</v>
      </c>
      <c r="O12" s="39">
        <f>$Y12*'[4]SWM Absatz'!O21+$Y13*'[4]SWM Absatz'!O22</f>
        <v>207488.49709999998</v>
      </c>
      <c r="P12" s="39">
        <f>$Y12*'[4]SWM Absatz'!P21+$Y13*'[4]SWM Absatz'!P22</f>
        <v>207297.6446</v>
      </c>
      <c r="Q12" s="39">
        <f>$Y12*'[4]SWM Absatz'!Q21+$Y13*'[4]SWM Absatz'!Q22</f>
        <v>206381.4878</v>
      </c>
      <c r="R12" s="39">
        <f>$Y12*'[4]SWM Absatz'!R21+$Y13*'[4]SWM Absatz'!R22</f>
        <v>201811.35880000002</v>
      </c>
      <c r="S12" s="39">
        <f>$Y12*'[4]SWM Absatz'!S21+$Y13*'[4]SWM Absatz'!S22</f>
        <v>200712.1335</v>
      </c>
      <c r="T12" s="39">
        <f>$Y12*'[4]SWM Absatz'!T21+$Y13*'[4]SWM Absatz'!T22</f>
        <v>192866.65789999999</v>
      </c>
      <c r="W12" s="22" t="s">
        <v>54</v>
      </c>
      <c r="X12" s="21"/>
      <c r="Y12" s="28">
        <v>0.1</v>
      </c>
      <c r="Z12" s="44" t="s">
        <v>66</v>
      </c>
    </row>
    <row r="13" spans="1:26" s="16" customFormat="1" ht="15" customHeight="1" x14ac:dyDescent="0.25">
      <c r="A13" s="5"/>
      <c r="B13" s="27"/>
      <c r="C13" s="86" t="s">
        <v>53</v>
      </c>
      <c r="D13" s="37"/>
      <c r="E13" s="37"/>
      <c r="F13" s="36" t="s">
        <v>52</v>
      </c>
      <c r="G13" s="85" t="s">
        <v>49</v>
      </c>
      <c r="H13" s="84"/>
      <c r="I13" s="84"/>
      <c r="J13" s="84"/>
      <c r="K13" s="84"/>
      <c r="L13" s="84"/>
      <c r="M13" s="84"/>
      <c r="N13" s="84"/>
      <c r="O13" s="84"/>
      <c r="P13" s="83"/>
      <c r="Q13" s="83"/>
      <c r="R13" s="83"/>
      <c r="S13" s="82"/>
      <c r="T13" s="82"/>
      <c r="W13" s="21"/>
      <c r="X13" s="21"/>
      <c r="Y13" s="28">
        <v>0.3</v>
      </c>
      <c r="Z13" s="44" t="s">
        <v>65</v>
      </c>
    </row>
    <row r="14" spans="1:26" x14ac:dyDescent="0.25">
      <c r="B14" s="27"/>
      <c r="C14" s="26" t="s">
        <v>32</v>
      </c>
      <c r="D14" s="8"/>
      <c r="E14" s="8"/>
      <c r="F14" s="25" t="s">
        <v>51</v>
      </c>
      <c r="G14" s="32" t="s">
        <v>49</v>
      </c>
      <c r="H14" s="29">
        <f>$Y14*'[4]SWM Absatz'!H22</f>
        <v>430899.91069999995</v>
      </c>
      <c r="I14" s="29">
        <f>$Y14*'[4]SWM Absatz'!I22</f>
        <v>421572.53320000001</v>
      </c>
      <c r="J14" s="29">
        <f>$Y14*'[4]SWM Absatz'!J22</f>
        <v>438631.02499999997</v>
      </c>
      <c r="K14" s="29">
        <f>$Y14*'[4]SWM Absatz'!K22</f>
        <v>417795.95059999998</v>
      </c>
      <c r="L14" s="29">
        <f>$Y14*'[4]SWM Absatz'!L22</f>
        <v>411006.47349999996</v>
      </c>
      <c r="M14" s="29">
        <f>$Y14*'[4]SWM Absatz'!M22</f>
        <v>404623.71249999997</v>
      </c>
      <c r="N14" s="29">
        <f>$Y14*'[4]SWM Absatz'!N22</f>
        <v>403026.98099999997</v>
      </c>
      <c r="O14" s="29">
        <f>$Y14*'[4]SWM Absatz'!O22</f>
        <v>392885.54969999997</v>
      </c>
      <c r="P14" s="29">
        <f>$Y14*'[4]SWM Absatz'!P22</f>
        <v>390586.51589999994</v>
      </c>
      <c r="Q14" s="29">
        <f>$Y14*'[4]SWM Absatz'!Q22</f>
        <v>391793.54829999997</v>
      </c>
      <c r="R14" s="29">
        <f>$Y14*'[4]SWM Absatz'!R22</f>
        <v>383505.4559</v>
      </c>
      <c r="S14" s="29">
        <f>$Y14*'[4]SWM Absatz'!S22</f>
        <v>378730.66489999997</v>
      </c>
      <c r="T14" s="29">
        <f>$Y14*'[4]SWM Absatz'!T22</f>
        <v>359829.66809999995</v>
      </c>
      <c r="U14" s="60"/>
      <c r="V14" s="21"/>
      <c r="W14" s="22" t="s">
        <v>32</v>
      </c>
      <c r="X14" s="33"/>
      <c r="Y14" s="72">
        <v>0.7</v>
      </c>
      <c r="Z14" s="44" t="s">
        <v>65</v>
      </c>
    </row>
    <row r="15" spans="1:26" x14ac:dyDescent="0.25">
      <c r="B15" s="27"/>
      <c r="C15" s="26"/>
      <c r="D15" s="8"/>
      <c r="E15" s="8"/>
      <c r="F15" s="25" t="s">
        <v>50</v>
      </c>
      <c r="G15" s="32" t="s">
        <v>49</v>
      </c>
      <c r="H15" s="81"/>
      <c r="I15" s="81"/>
      <c r="J15" s="81"/>
      <c r="K15" s="81"/>
      <c r="L15" s="81"/>
      <c r="M15" s="81"/>
      <c r="N15" s="81"/>
      <c r="O15" s="80"/>
      <c r="P15" s="79"/>
      <c r="Q15" s="79"/>
      <c r="R15" s="79"/>
      <c r="S15" s="79"/>
      <c r="T15" s="79"/>
      <c r="V15" s="21"/>
      <c r="W15" s="21"/>
      <c r="X15" s="21"/>
      <c r="Y15" s="21"/>
    </row>
    <row r="16" spans="1:26" x14ac:dyDescent="0.25">
      <c r="B16" s="27"/>
      <c r="C16" s="43" t="s">
        <v>72</v>
      </c>
      <c r="F16" s="21"/>
      <c r="G16" s="42" t="s">
        <v>49</v>
      </c>
      <c r="H16" s="75"/>
      <c r="I16" s="75"/>
      <c r="J16" s="75"/>
      <c r="K16" s="75"/>
      <c r="L16" s="75"/>
      <c r="M16" s="75"/>
      <c r="N16" s="75"/>
      <c r="O16" s="74"/>
      <c r="P16" s="74"/>
      <c r="Q16" s="74"/>
      <c r="R16" s="74"/>
      <c r="S16" s="74"/>
      <c r="T16" s="74"/>
      <c r="V16" s="21"/>
      <c r="W16" s="21"/>
      <c r="X16" s="21"/>
      <c r="Y16" s="21"/>
    </row>
    <row r="17" spans="1:26" x14ac:dyDescent="0.25">
      <c r="B17" s="27"/>
      <c r="C17" s="26" t="s">
        <v>71</v>
      </c>
      <c r="D17" s="8"/>
      <c r="E17" s="8"/>
      <c r="F17" s="25" t="s">
        <v>51</v>
      </c>
      <c r="G17" s="32" t="s">
        <v>49</v>
      </c>
      <c r="H17" s="78"/>
      <c r="I17" s="78"/>
      <c r="J17" s="78"/>
      <c r="K17" s="78"/>
      <c r="L17" s="78"/>
      <c r="M17" s="78"/>
      <c r="N17" s="78"/>
      <c r="O17" s="77"/>
      <c r="P17" s="76"/>
      <c r="Q17" s="76"/>
      <c r="R17" s="76"/>
      <c r="S17" s="76"/>
      <c r="T17" s="76"/>
      <c r="V17" s="21"/>
      <c r="W17" s="21"/>
      <c r="X17" s="21"/>
      <c r="Y17" s="21"/>
    </row>
    <row r="18" spans="1:26" x14ac:dyDescent="0.25">
      <c r="B18" s="27"/>
      <c r="C18" s="43" t="s">
        <v>70</v>
      </c>
      <c r="G18" s="42" t="s">
        <v>49</v>
      </c>
      <c r="H18" s="75"/>
      <c r="I18" s="75"/>
      <c r="J18" s="75"/>
      <c r="K18" s="75"/>
      <c r="L18" s="75"/>
      <c r="M18" s="75"/>
      <c r="N18" s="75"/>
      <c r="O18" s="74"/>
      <c r="P18" s="74"/>
      <c r="Q18" s="74"/>
      <c r="R18" s="74"/>
      <c r="S18" s="74"/>
      <c r="T18" s="74"/>
      <c r="V18" s="21"/>
      <c r="W18" s="21"/>
      <c r="X18" s="21"/>
      <c r="Y18" s="21"/>
    </row>
    <row r="19" spans="1:26" customFormat="1" ht="15.75" thickBot="1" x14ac:dyDescent="0.3">
      <c r="A19" s="5"/>
      <c r="B19" s="20"/>
      <c r="C19" s="19"/>
      <c r="D19" s="19"/>
      <c r="E19" s="19"/>
      <c r="F19" s="19"/>
      <c r="G19" s="18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6"/>
      <c r="V19" s="33"/>
      <c r="W19" s="33" t="s">
        <v>69</v>
      </c>
      <c r="X19" s="33"/>
      <c r="Y19" s="21"/>
    </row>
    <row r="20" spans="1:26" ht="15" customHeight="1" x14ac:dyDescent="0.25">
      <c r="V20" s="21"/>
      <c r="W20" s="21"/>
      <c r="X20" s="21"/>
      <c r="Y20" s="21"/>
    </row>
    <row r="21" spans="1:26" ht="15" customHeight="1" thickBot="1" x14ac:dyDescent="0.45">
      <c r="B21" s="58"/>
      <c r="C21" s="89" t="s">
        <v>47</v>
      </c>
      <c r="D21" s="89"/>
      <c r="V21" s="21"/>
      <c r="W21" s="21"/>
      <c r="X21" s="21"/>
      <c r="Y21" s="21"/>
    </row>
    <row r="22" spans="1:26" ht="15" customHeight="1" x14ac:dyDescent="0.25">
      <c r="B22" s="57"/>
      <c r="C22" s="89"/>
      <c r="D22" s="89"/>
      <c r="E22" s="56"/>
      <c r="F22" s="56"/>
      <c r="G22" s="55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V22" s="21"/>
      <c r="W22" s="21"/>
      <c r="X22" s="21"/>
      <c r="Y22" s="21"/>
    </row>
    <row r="23" spans="1:26" s="16" customFormat="1" ht="15.75" x14ac:dyDescent="0.25">
      <c r="A23" s="5"/>
      <c r="B23" s="27"/>
      <c r="C23" s="53" t="s">
        <v>60</v>
      </c>
      <c r="D23" s="52"/>
      <c r="E23" s="52"/>
      <c r="F23" s="52"/>
      <c r="G23" s="51" t="s">
        <v>59</v>
      </c>
      <c r="H23" s="14">
        <v>2008</v>
      </c>
      <c r="I23" s="14">
        <v>2009</v>
      </c>
      <c r="J23" s="14">
        <v>2010</v>
      </c>
      <c r="K23" s="14">
        <v>2011</v>
      </c>
      <c r="L23" s="14">
        <v>2012</v>
      </c>
      <c r="M23" s="14">
        <v>2013</v>
      </c>
      <c r="N23" s="14">
        <v>2014</v>
      </c>
      <c r="O23" s="14">
        <v>2015</v>
      </c>
      <c r="P23" s="14">
        <v>2016</v>
      </c>
      <c r="Q23" s="14">
        <v>2017</v>
      </c>
      <c r="R23" s="14">
        <v>2018</v>
      </c>
      <c r="S23" s="14">
        <v>2019</v>
      </c>
      <c r="T23" s="14">
        <v>2020</v>
      </c>
      <c r="V23" s="33"/>
      <c r="W23" s="33"/>
      <c r="X23" s="33"/>
      <c r="Y23" s="33"/>
    </row>
    <row r="24" spans="1:26" s="16" customFormat="1" ht="6" customHeight="1" x14ac:dyDescent="0.25">
      <c r="A24" s="5"/>
      <c r="B24" s="27"/>
      <c r="C24" s="37"/>
      <c r="D24" s="37"/>
      <c r="E24" s="37"/>
      <c r="F24" s="37"/>
      <c r="G24" s="4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V24" s="33"/>
      <c r="W24" s="33"/>
      <c r="X24" s="33"/>
      <c r="Y24" s="33"/>
    </row>
    <row r="25" spans="1:26" s="16" customFormat="1" ht="18.75" customHeight="1" x14ac:dyDescent="0.3">
      <c r="A25" s="5"/>
      <c r="B25" s="27"/>
      <c r="C25" s="50" t="s">
        <v>68</v>
      </c>
      <c r="D25" s="48"/>
      <c r="E25" s="48"/>
      <c r="F25" s="48"/>
      <c r="G25" s="49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X25" s="33"/>
      <c r="Y25" s="33"/>
      <c r="Z25" s="33"/>
    </row>
    <row r="26" spans="1:26" s="16" customFormat="1" ht="6" customHeight="1" x14ac:dyDescent="0.25">
      <c r="A26" s="5"/>
      <c r="B26" s="27"/>
      <c r="C26" s="37"/>
      <c r="D26" s="37"/>
      <c r="E26" s="37"/>
      <c r="F26" s="37"/>
      <c r="G26" s="4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W26" s="33"/>
      <c r="X26" s="33"/>
      <c r="Y26" s="33"/>
      <c r="Z26" s="33"/>
    </row>
    <row r="27" spans="1:26" x14ac:dyDescent="0.25">
      <c r="B27" s="27"/>
      <c r="C27" s="11" t="s">
        <v>57</v>
      </c>
      <c r="G27" s="42" t="s">
        <v>49</v>
      </c>
      <c r="H27" s="45"/>
      <c r="I27" s="45"/>
      <c r="J27" s="45"/>
      <c r="K27" s="45"/>
      <c r="L27" s="45"/>
      <c r="M27" s="45">
        <f t="shared" ref="M27:S27" si="1">M28+M29+M31</f>
        <v>1442316</v>
      </c>
      <c r="N27" s="45">
        <f t="shared" si="1"/>
        <v>1226260</v>
      </c>
      <c r="O27" s="45">
        <f t="shared" si="1"/>
        <v>1316002</v>
      </c>
      <c r="P27" s="45">
        <f t="shared" si="1"/>
        <v>1409550</v>
      </c>
      <c r="Q27" s="45">
        <f t="shared" si="1"/>
        <v>1392952</v>
      </c>
      <c r="R27" s="45">
        <f t="shared" si="1"/>
        <v>1374098</v>
      </c>
      <c r="S27" s="45">
        <f t="shared" si="1"/>
        <v>1338394</v>
      </c>
      <c r="T27" s="45"/>
      <c r="W27" s="33" t="s">
        <v>67</v>
      </c>
    </row>
    <row r="28" spans="1:26" x14ac:dyDescent="0.25">
      <c r="B28" s="27"/>
      <c r="C28" s="26" t="s">
        <v>31</v>
      </c>
      <c r="D28" s="8"/>
      <c r="E28" s="8"/>
      <c r="F28" s="25" t="s">
        <v>51</v>
      </c>
      <c r="G28" s="32" t="s">
        <v>49</v>
      </c>
      <c r="H28" s="30"/>
      <c r="I28" s="30"/>
      <c r="J28" s="30"/>
      <c r="K28" s="30"/>
      <c r="L28" s="30"/>
      <c r="M28" s="29">
        <f>$Y28*'[4]SWM Absatz'!M61</f>
        <v>807187.20000000007</v>
      </c>
      <c r="N28" s="29">
        <f>$Y28*'[4]SWM Absatz'!N61</f>
        <v>686159.20000000007</v>
      </c>
      <c r="O28" s="29">
        <f>$Y28*'[4]SWM Absatz'!O61</f>
        <v>739842.4</v>
      </c>
      <c r="P28" s="29">
        <f>$Y28*'[4]SWM Absatz'!P61</f>
        <v>807152</v>
      </c>
      <c r="Q28" s="29">
        <f>$Y28*'[4]SWM Absatz'!Q61</f>
        <v>799536</v>
      </c>
      <c r="R28" s="29">
        <f>$Y28*'[4]SWM Absatz'!R61</f>
        <v>782128.8</v>
      </c>
      <c r="S28" s="29">
        <f>$Y28*'[4]SWM Absatz'!S61</f>
        <v>764482.4</v>
      </c>
      <c r="T28" s="29"/>
      <c r="W28" s="22" t="s">
        <v>31</v>
      </c>
      <c r="X28" s="21"/>
      <c r="Y28" s="28">
        <v>0.8</v>
      </c>
      <c r="Z28" s="44" t="s">
        <v>66</v>
      </c>
    </row>
    <row r="29" spans="1:26" x14ac:dyDescent="0.25">
      <c r="B29" s="27"/>
      <c r="C29" s="43" t="s">
        <v>55</v>
      </c>
      <c r="F29" s="21" t="s">
        <v>51</v>
      </c>
      <c r="G29" s="42" t="s">
        <v>49</v>
      </c>
      <c r="H29" s="40"/>
      <c r="I29" s="40"/>
      <c r="J29" s="40"/>
      <c r="K29" s="40"/>
      <c r="L29" s="40"/>
      <c r="M29" s="39">
        <f>$Y29*'[4]SWM Absatz'!M61+$Y30*'[4]SWM Absatz'!M62</f>
        <v>214796.76</v>
      </c>
      <c r="N29" s="39">
        <f>$Y29*'[4]SWM Absatz'!N61+$Y30*'[4]SWM Absatz'!N62</f>
        <v>182596.63</v>
      </c>
      <c r="O29" s="39">
        <f>$Y29*'[4]SWM Absatz'!O61+$Y30*'[4]SWM Absatz'!O62</f>
        <v>196696.57</v>
      </c>
      <c r="P29" s="39">
        <f>$Y29*'[4]SWM Absatz'!P61+$Y30*'[4]SWM Absatz'!P62</f>
        <v>213806.3</v>
      </c>
      <c r="Q29" s="39">
        <f>$Y29*'[4]SWM Absatz'!Q61+$Y30*'[4]SWM Absatz'!Q62</f>
        <v>211689.96</v>
      </c>
      <c r="R29" s="39">
        <f>$Y29*'[4]SWM Absatz'!R61+$Y30*'[4]SWM Absatz'!R62</f>
        <v>207425.31</v>
      </c>
      <c r="S29" s="39">
        <f>$Y29*'[4]SWM Absatz'!S61+$Y30*'[4]SWM Absatz'!S62</f>
        <v>202604.33000000002</v>
      </c>
      <c r="T29" s="39"/>
      <c r="W29" s="22" t="s">
        <v>54</v>
      </c>
      <c r="X29" s="21"/>
      <c r="Y29" s="28">
        <v>0.2</v>
      </c>
      <c r="Z29" s="44" t="s">
        <v>66</v>
      </c>
    </row>
    <row r="30" spans="1:26" s="16" customFormat="1" ht="15" customHeight="1" x14ac:dyDescent="0.25">
      <c r="A30" s="5"/>
      <c r="B30" s="27"/>
      <c r="C30" s="38" t="s">
        <v>53</v>
      </c>
      <c r="D30" s="37"/>
      <c r="E30" s="37"/>
      <c r="F30" s="36" t="s">
        <v>52</v>
      </c>
      <c r="G30" s="35" t="s">
        <v>49</v>
      </c>
      <c r="H30" s="34"/>
      <c r="I30" s="34"/>
      <c r="J30" s="34"/>
      <c r="K30" s="34"/>
      <c r="L30" s="34"/>
      <c r="M30" s="34"/>
      <c r="N30" s="34"/>
      <c r="O30" s="34"/>
      <c r="P30" s="73"/>
      <c r="Q30" s="73"/>
      <c r="R30" s="73"/>
      <c r="S30" s="73"/>
      <c r="T30" s="73"/>
      <c r="W30" s="21"/>
      <c r="X30" s="21"/>
      <c r="Y30" s="28">
        <v>0.03</v>
      </c>
      <c r="Z30" s="44" t="s">
        <v>65</v>
      </c>
    </row>
    <row r="31" spans="1:26" x14ac:dyDescent="0.25">
      <c r="B31" s="27"/>
      <c r="C31" s="26" t="s">
        <v>32</v>
      </c>
      <c r="D31" s="8"/>
      <c r="E31" s="8"/>
      <c r="F31" s="25" t="s">
        <v>51</v>
      </c>
      <c r="G31" s="32" t="s">
        <v>49</v>
      </c>
      <c r="H31" s="30"/>
      <c r="I31" s="30"/>
      <c r="J31" s="30"/>
      <c r="K31" s="30"/>
      <c r="L31" s="30"/>
      <c r="M31" s="29">
        <f>$Y31*'[4]SWM Absatz'!M62</f>
        <v>420332.04</v>
      </c>
      <c r="N31" s="29">
        <f>$Y31*'[4]SWM Absatz'!N62</f>
        <v>357504.17</v>
      </c>
      <c r="O31" s="29">
        <f>$Y31*'[4]SWM Absatz'!O62</f>
        <v>379463.02999999997</v>
      </c>
      <c r="P31" s="29">
        <f>$Y31*'[4]SWM Absatz'!P62</f>
        <v>388591.7</v>
      </c>
      <c r="Q31" s="29">
        <f>$Y31*'[4]SWM Absatz'!Q62</f>
        <v>381726.04</v>
      </c>
      <c r="R31" s="29">
        <f>$Y31*'[4]SWM Absatz'!R62</f>
        <v>384543.89</v>
      </c>
      <c r="S31" s="29">
        <f>$Y31*'[4]SWM Absatz'!S62</f>
        <v>371307.27</v>
      </c>
      <c r="T31" s="29"/>
      <c r="V31" s="21"/>
      <c r="W31" s="22" t="s">
        <v>32</v>
      </c>
      <c r="X31" s="33"/>
      <c r="Y31" s="72">
        <v>0.97</v>
      </c>
      <c r="Z31" s="44" t="s">
        <v>65</v>
      </c>
    </row>
    <row r="32" spans="1:26" x14ac:dyDescent="0.25">
      <c r="B32" s="27"/>
      <c r="C32" s="26"/>
      <c r="D32" s="8"/>
      <c r="E32" s="8"/>
      <c r="F32" s="25" t="s">
        <v>50</v>
      </c>
      <c r="G32" s="32" t="s">
        <v>49</v>
      </c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V32" s="21"/>
      <c r="W32" s="21"/>
      <c r="X32" s="21"/>
      <c r="Y32" s="21"/>
    </row>
    <row r="33" spans="1:26" s="16" customFormat="1" ht="15" customHeight="1" x14ac:dyDescent="0.25">
      <c r="A33" s="70"/>
      <c r="B33" s="27"/>
      <c r="D33" s="69"/>
      <c r="E33" s="69"/>
      <c r="F33" s="69"/>
      <c r="G33" s="68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V33" s="33"/>
      <c r="W33" s="33"/>
      <c r="X33" s="33"/>
      <c r="Y33" s="33"/>
    </row>
    <row r="34" spans="1:26" x14ac:dyDescent="0.25">
      <c r="B34" s="27"/>
      <c r="C34" s="11" t="s">
        <v>64</v>
      </c>
      <c r="G34" s="42" t="s">
        <v>49</v>
      </c>
      <c r="H34" s="40"/>
      <c r="I34" s="40"/>
      <c r="J34" s="40"/>
      <c r="K34" s="40"/>
      <c r="L34" s="40"/>
      <c r="M34" s="40"/>
      <c r="N34" s="40"/>
      <c r="O34" s="40"/>
      <c r="P34" s="66"/>
      <c r="Q34" s="66"/>
      <c r="R34" s="66"/>
      <c r="S34" s="66"/>
      <c r="T34" s="66"/>
      <c r="U34" s="60" t="s">
        <v>63</v>
      </c>
      <c r="V34" s="21"/>
      <c r="W34" s="28"/>
      <c r="X34" s="44"/>
      <c r="Y34" s="21"/>
    </row>
    <row r="35" spans="1:26" x14ac:dyDescent="0.25">
      <c r="B35" s="27"/>
      <c r="C35" s="26" t="s">
        <v>31</v>
      </c>
      <c r="D35" s="8"/>
      <c r="E35" s="8"/>
      <c r="F35" s="25" t="s">
        <v>51</v>
      </c>
      <c r="G35" s="32" t="s">
        <v>49</v>
      </c>
      <c r="H35" s="30"/>
      <c r="I35" s="30"/>
      <c r="J35" s="30"/>
      <c r="K35" s="30"/>
      <c r="L35" s="30"/>
      <c r="M35" s="30"/>
      <c r="N35" s="30"/>
      <c r="O35" s="30"/>
      <c r="P35" s="61"/>
      <c r="Q35" s="61"/>
      <c r="R35" s="61"/>
      <c r="S35" s="61"/>
      <c r="T35" s="61"/>
      <c r="U35" s="22" t="s">
        <v>62</v>
      </c>
      <c r="V35" s="21"/>
      <c r="W35" s="28"/>
      <c r="X35" s="44"/>
      <c r="Y35" s="21"/>
    </row>
    <row r="36" spans="1:26" x14ac:dyDescent="0.25">
      <c r="B36" s="27"/>
      <c r="C36" s="43" t="s">
        <v>55</v>
      </c>
      <c r="F36" s="21" t="s">
        <v>51</v>
      </c>
      <c r="G36" s="42" t="s">
        <v>49</v>
      </c>
      <c r="H36" s="40"/>
      <c r="I36" s="40"/>
      <c r="J36" s="40"/>
      <c r="K36" s="40"/>
      <c r="L36" s="40"/>
      <c r="M36" s="40"/>
      <c r="N36" s="40"/>
      <c r="O36" s="40"/>
      <c r="P36" s="65"/>
      <c r="Q36" s="65"/>
      <c r="R36" s="65"/>
      <c r="S36" s="65"/>
      <c r="T36" s="65"/>
      <c r="V36" s="64"/>
      <c r="W36" s="63"/>
      <c r="X36" s="62"/>
    </row>
    <row r="37" spans="1:26" x14ac:dyDescent="0.25">
      <c r="B37" s="27"/>
      <c r="C37" s="26" t="s">
        <v>32</v>
      </c>
      <c r="D37" s="8"/>
      <c r="E37" s="8"/>
      <c r="F37" s="25" t="s">
        <v>61</v>
      </c>
      <c r="G37" s="32" t="s">
        <v>49</v>
      </c>
      <c r="H37" s="30"/>
      <c r="I37" s="30"/>
      <c r="J37" s="30"/>
      <c r="K37" s="30"/>
      <c r="L37" s="30"/>
      <c r="M37" s="30"/>
      <c r="N37" s="30"/>
      <c r="O37" s="30"/>
      <c r="P37" s="61"/>
      <c r="Q37" s="61"/>
      <c r="R37" s="61"/>
      <c r="S37" s="61"/>
      <c r="T37" s="61"/>
      <c r="U37" s="60"/>
    </row>
    <row r="38" spans="1:26" customFormat="1" ht="15.75" thickBot="1" x14ac:dyDescent="0.3">
      <c r="A38" s="5"/>
      <c r="B38" s="20"/>
      <c r="C38" s="19"/>
      <c r="D38" s="19"/>
      <c r="E38" s="19"/>
      <c r="F38" s="19"/>
      <c r="G38" s="18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59"/>
      <c r="V38" s="16"/>
      <c r="W38" s="16"/>
      <c r="X38" s="16"/>
    </row>
    <row r="39" spans="1:26" ht="15" customHeight="1" x14ac:dyDescent="0.25"/>
    <row r="40" spans="1:26" ht="15" customHeight="1" thickBot="1" x14ac:dyDescent="0.45">
      <c r="B40" s="58"/>
      <c r="C40" s="89" t="s">
        <v>48</v>
      </c>
      <c r="D40" s="89"/>
    </row>
    <row r="41" spans="1:26" ht="15" customHeight="1" x14ac:dyDescent="0.25">
      <c r="B41" s="57"/>
      <c r="C41" s="89"/>
      <c r="D41" s="89"/>
      <c r="E41" s="56"/>
      <c r="F41" s="56"/>
      <c r="G41" s="55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6" s="16" customFormat="1" ht="15.75" x14ac:dyDescent="0.25">
      <c r="A42" s="5"/>
      <c r="B42" s="27"/>
      <c r="C42" s="53" t="s">
        <v>60</v>
      </c>
      <c r="D42" s="52"/>
      <c r="E42" s="52"/>
      <c r="F42" s="52"/>
      <c r="G42" s="51" t="s">
        <v>59</v>
      </c>
      <c r="H42" s="14">
        <v>2008</v>
      </c>
      <c r="I42" s="14">
        <v>2009</v>
      </c>
      <c r="J42" s="14">
        <v>2010</v>
      </c>
      <c r="K42" s="14">
        <v>2011</v>
      </c>
      <c r="L42" s="14">
        <v>2012</v>
      </c>
      <c r="M42" s="14">
        <v>2013</v>
      </c>
      <c r="N42" s="14">
        <v>2014</v>
      </c>
      <c r="O42" s="14">
        <v>2015</v>
      </c>
      <c r="P42" s="14">
        <v>2016</v>
      </c>
      <c r="Q42" s="14">
        <v>2017</v>
      </c>
      <c r="R42" s="14">
        <v>2018</v>
      </c>
      <c r="S42" s="14">
        <v>2019</v>
      </c>
      <c r="T42" s="14">
        <v>2020</v>
      </c>
      <c r="V42" s="33"/>
      <c r="W42" s="33"/>
      <c r="X42" s="33"/>
      <c r="Y42" s="33"/>
    </row>
    <row r="43" spans="1:26" s="16" customFormat="1" ht="6" customHeight="1" x14ac:dyDescent="0.25">
      <c r="A43" s="5"/>
      <c r="B43" s="27"/>
      <c r="C43" s="37"/>
      <c r="D43" s="37"/>
      <c r="E43" s="37"/>
      <c r="F43" s="37"/>
      <c r="G43" s="4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V43" s="33"/>
      <c r="W43" s="33"/>
      <c r="X43" s="33"/>
      <c r="Y43" s="33"/>
    </row>
    <row r="44" spans="1:26" s="16" customFormat="1" ht="18.75" customHeight="1" x14ac:dyDescent="0.3">
      <c r="A44" s="5"/>
      <c r="B44" s="27"/>
      <c r="C44" s="50" t="s">
        <v>58</v>
      </c>
      <c r="D44" s="48"/>
      <c r="E44" s="48"/>
      <c r="F44" s="48"/>
      <c r="G44" s="49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V44" s="33"/>
      <c r="X44" s="33"/>
      <c r="Y44" s="33"/>
      <c r="Z44" s="33"/>
    </row>
    <row r="45" spans="1:26" s="16" customFormat="1" ht="6" customHeight="1" x14ac:dyDescent="0.25">
      <c r="A45" s="5"/>
      <c r="B45" s="27"/>
      <c r="C45" s="37"/>
      <c r="D45" s="37"/>
      <c r="E45" s="37"/>
      <c r="F45" s="37"/>
      <c r="G45" s="4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V45" s="33"/>
      <c r="W45" s="33"/>
      <c r="X45" s="33"/>
      <c r="Y45" s="33"/>
      <c r="Z45" s="33"/>
    </row>
    <row r="46" spans="1:26" x14ac:dyDescent="0.25">
      <c r="B46" s="27"/>
      <c r="C46" s="11" t="s">
        <v>57</v>
      </c>
      <c r="G46" s="42" t="s">
        <v>49</v>
      </c>
      <c r="H46" s="46">
        <f>H47+H48+H50</f>
        <v>323854.69927996612</v>
      </c>
      <c r="I46" s="46">
        <f>I47+I48+I50</f>
        <v>377958.99603429175</v>
      </c>
      <c r="J46" s="46">
        <f>J47+J48+J50</f>
        <v>310469.06685371517</v>
      </c>
      <c r="K46" s="46">
        <f>K47+K48+K50</f>
        <v>327581.96611114556</v>
      </c>
      <c r="L46" s="46">
        <f>L47+L48+L50</f>
        <v>307607.08597857004</v>
      </c>
      <c r="M46" s="45"/>
      <c r="N46" s="45">
        <f>'[4]SWM Absatz'!N99</f>
        <v>301395.63199999993</v>
      </c>
      <c r="O46" s="45">
        <f>'[4]SWM Absatz'!O99</f>
        <v>326691.50708999968</v>
      </c>
      <c r="P46" s="45">
        <f>'[4]SWM Absatz'!P99</f>
        <v>344111.97506999969</v>
      </c>
      <c r="Q46" s="45">
        <f>'[4]SWM Absatz'!Q99</f>
        <v>338853.3054299996</v>
      </c>
      <c r="R46" s="45">
        <f>'[4]SWM Absatz'!R99</f>
        <v>331918.70835999964</v>
      </c>
      <c r="S46" s="45">
        <f>'[4]SWM Absatz'!S99</f>
        <v>322645.04651999939</v>
      </c>
      <c r="T46" s="45"/>
      <c r="V46" s="21"/>
      <c r="W46" s="33" t="s">
        <v>56</v>
      </c>
      <c r="Z46" s="44"/>
    </row>
    <row r="47" spans="1:26" x14ac:dyDescent="0.25">
      <c r="B47" s="27"/>
      <c r="C47" s="26" t="s">
        <v>31</v>
      </c>
      <c r="D47" s="8"/>
      <c r="E47" s="8"/>
      <c r="F47" s="25" t="s">
        <v>51</v>
      </c>
      <c r="G47" s="32" t="s">
        <v>49</v>
      </c>
      <c r="H47" s="31">
        <f>[4]ECORegion_alt_Endenergie!V40</f>
        <v>246964.62056834996</v>
      </c>
      <c r="I47" s="31">
        <f>[4]ECORegion_alt_Endenergie!W40</f>
        <v>243256.56428697606</v>
      </c>
      <c r="J47" s="31">
        <f>[4]ECORegion_alt_Endenergie!X40</f>
        <v>239548.50800560135</v>
      </c>
      <c r="K47" s="31">
        <f>[4]ECORegion_alt_Endenergie!Y40</f>
        <v>235840.45172422746</v>
      </c>
      <c r="L47" s="31">
        <f>[4]ECORegion_alt_Endenergie!Z40</f>
        <v>232132.39544285275</v>
      </c>
      <c r="M47" s="30"/>
      <c r="N47" s="29">
        <f>$Y47*('[4]SWM Absatz'!N99-'[4]SWM Absatz'!N100)</f>
        <v>206183.97480983028</v>
      </c>
      <c r="O47" s="29">
        <f>$Y47*('[4]SWM Absatz'!O99-'[4]SWM Absatz'!O100)</f>
        <v>223732.72679912377</v>
      </c>
      <c r="P47" s="29">
        <f>$Y47*('[4]SWM Absatz'!P99-'[4]SWM Absatz'!P100)</f>
        <v>238074.86056326347</v>
      </c>
      <c r="Q47" s="29">
        <f>$Y47*('[4]SWM Absatz'!Q99-'[4]SWM Absatz'!Q100)</f>
        <v>233565.23780258652</v>
      </c>
      <c r="R47" s="29">
        <f>$Y47*('[4]SWM Absatz'!R99-'[4]SWM Absatz'!R100)</f>
        <v>231789.69392333608</v>
      </c>
      <c r="S47" s="29">
        <f>$Y47*('[4]SWM Absatz'!S99-'[4]SWM Absatz'!S100)</f>
        <v>224486.13846855774</v>
      </c>
      <c r="T47" s="29"/>
      <c r="V47" s="21"/>
      <c r="W47" s="22" t="s">
        <v>31</v>
      </c>
      <c r="X47" s="21"/>
      <c r="Y47" s="28">
        <f>SUM(H47:L47)/SUM(H47:L48)</f>
        <v>0.7711169542402122</v>
      </c>
      <c r="Z47" s="44"/>
    </row>
    <row r="48" spans="1:26" x14ac:dyDescent="0.25">
      <c r="B48" s="27"/>
      <c r="C48" s="43" t="s">
        <v>55</v>
      </c>
      <c r="F48" s="21" t="s">
        <v>51</v>
      </c>
      <c r="G48" s="42" t="s">
        <v>49</v>
      </c>
      <c r="H48" s="41">
        <f>[4]ECORegion_alt_Endenergie!V82</f>
        <v>58893.980706913942</v>
      </c>
      <c r="I48" s="41">
        <f>[4]ECORegion_alt_Endenergie!W82</f>
        <v>110862.42692339609</v>
      </c>
      <c r="J48" s="41">
        <f>[4]ECORegion_alt_Endenergie!X82</f>
        <v>54574.461996968414</v>
      </c>
      <c r="K48" s="41">
        <f>[4]ECORegion_alt_Endenergie!Y82</f>
        <v>72213.487012411919</v>
      </c>
      <c r="L48" s="41">
        <f>[4]ECORegion_alt_Endenergie!Z82</f>
        <v>58969.757127643876</v>
      </c>
      <c r="M48" s="40"/>
      <c r="N48" s="39">
        <f>$Y48*('[4]SWM Absatz'!N99-'[4]SWM Absatz'!N100)</f>
        <v>61199.557190169704</v>
      </c>
      <c r="O48" s="39">
        <f>$Y48*('[4]SWM Absatz'!O99-'[4]SWM Absatz'!O100)</f>
        <v>66408.38029087591</v>
      </c>
      <c r="P48" s="39">
        <f>$Y48*('[4]SWM Absatz'!P99-'[4]SWM Absatz'!P100)</f>
        <v>70665.414506736241</v>
      </c>
      <c r="Q48" s="39">
        <f>$Y48*('[4]SWM Absatz'!Q99-'[4]SWM Absatz'!Q100)</f>
        <v>69326.867627413099</v>
      </c>
      <c r="R48" s="39">
        <f>$Y48*('[4]SWM Absatz'!R99-'[4]SWM Absatz'!R100)</f>
        <v>68799.85043666359</v>
      </c>
      <c r="S48" s="39">
        <f>$Y48*('[4]SWM Absatz'!S99-'[4]SWM Absatz'!S100)</f>
        <v>66632.008051441662</v>
      </c>
      <c r="T48" s="39"/>
      <c r="V48" s="21"/>
      <c r="W48" s="22" t="s">
        <v>54</v>
      </c>
      <c r="X48" s="21"/>
      <c r="Y48" s="28">
        <f>SUM(H48:L48)/SUM(H47:L48)</f>
        <v>0.22888304575978791</v>
      </c>
    </row>
    <row r="49" spans="1:25" s="16" customFormat="1" ht="15" customHeight="1" x14ac:dyDescent="0.25">
      <c r="A49" s="5"/>
      <c r="B49" s="27"/>
      <c r="C49" s="38" t="s">
        <v>53</v>
      </c>
      <c r="D49" s="37"/>
      <c r="E49" s="37"/>
      <c r="F49" s="36" t="s">
        <v>52</v>
      </c>
      <c r="G49" s="35" t="s">
        <v>49</v>
      </c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V49" s="33"/>
    </row>
    <row r="50" spans="1:25" x14ac:dyDescent="0.25">
      <c r="B50" s="27"/>
      <c r="C50" s="26" t="s">
        <v>32</v>
      </c>
      <c r="D50" s="8"/>
      <c r="E50" s="8"/>
      <c r="F50" s="25" t="s">
        <v>51</v>
      </c>
      <c r="G50" s="32" t="s">
        <v>49</v>
      </c>
      <c r="H50" s="31">
        <f>[4]ECORegion_alt_Endenergie!V61</f>
        <v>17996.098004702224</v>
      </c>
      <c r="I50" s="31">
        <f>[4]ECORegion_alt_Endenergie!W61</f>
        <v>23840.004823919538</v>
      </c>
      <c r="J50" s="31">
        <f>[4]ECORegion_alt_Endenergie!X61</f>
        <v>16346.096851145399</v>
      </c>
      <c r="K50" s="31">
        <f>[4]ECORegion_alt_Endenergie!Y61</f>
        <v>19528.027374506149</v>
      </c>
      <c r="L50" s="31">
        <f>[4]ECORegion_alt_Endenergie!Z61</f>
        <v>16504.93340807343</v>
      </c>
      <c r="M50" s="30"/>
      <c r="N50" s="29">
        <f>'[4]SWM Absatz'!N100</f>
        <v>34012.099999999991</v>
      </c>
      <c r="O50" s="29">
        <f>'[4]SWM Absatz'!O100</f>
        <v>36550.400000000009</v>
      </c>
      <c r="P50" s="29">
        <f>'[4]SWM Absatz'!P100</f>
        <v>35371.699999999997</v>
      </c>
      <c r="Q50" s="29">
        <f>'[4]SWM Absatz'!Q100</f>
        <v>35961.200000000004</v>
      </c>
      <c r="R50" s="29">
        <f>'[4]SWM Absatz'!R100</f>
        <v>31329.163999999993</v>
      </c>
      <c r="S50" s="29">
        <f>'[4]SWM Absatz'!S100</f>
        <v>31526.900000000005</v>
      </c>
      <c r="T50" s="29"/>
      <c r="V50" s="21"/>
      <c r="W50" s="22" t="s">
        <v>32</v>
      </c>
      <c r="X50" s="21"/>
      <c r="Y50" s="28"/>
    </row>
    <row r="51" spans="1:25" x14ac:dyDescent="0.25">
      <c r="B51" s="27"/>
      <c r="C51" s="26"/>
      <c r="D51" s="8"/>
      <c r="E51" s="8"/>
      <c r="F51" s="25" t="s">
        <v>50</v>
      </c>
      <c r="G51" s="24" t="s">
        <v>49</v>
      </c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2"/>
      <c r="V51" s="21"/>
      <c r="W51" s="21"/>
      <c r="X51" s="21"/>
      <c r="Y51" s="21"/>
    </row>
    <row r="52" spans="1:25" customFormat="1" ht="15.75" thickBot="1" x14ac:dyDescent="0.3">
      <c r="A52" s="5"/>
      <c r="B52" s="20"/>
      <c r="C52" s="19"/>
      <c r="D52" s="19"/>
      <c r="E52" s="19"/>
      <c r="F52" s="19"/>
      <c r="G52" s="18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6"/>
      <c r="V52" s="16"/>
      <c r="W52" s="16"/>
      <c r="X52" s="16"/>
    </row>
  </sheetData>
  <mergeCells count="3">
    <mergeCell ref="C4:D5"/>
    <mergeCell ref="C21:D22"/>
    <mergeCell ref="C40:D41"/>
  </mergeCells>
  <pageMargins left="0.70866141732283472" right="0.70866141732283472" top="0.78740157480314965" bottom="0.78740157480314965" header="0.31496062992125984" footer="0.31496062992125984"/>
  <pageSetup paperSize="9" scale="54" fitToHeight="2" orientation="landscape" r:id="rId1"/>
  <headerFooter>
    <oddFooter>&amp;L&amp;K01+049IE Leipzig&amp;C&amp;K01+047&amp;A&amp;R&amp;K01+047&amp;D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Energie</vt:lpstr>
      <vt:lpstr>CO2</vt:lpstr>
      <vt:lpstr>stationärer Energieverbrauch</vt:lpstr>
      <vt:lpstr>'stationärer Energieverbrauch'!Druckbereich</vt:lpstr>
    </vt:vector>
  </TitlesOfParts>
  <Company>KID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Doelling</dc:creator>
  <cp:lastModifiedBy>Sidsel Jorgensen</cp:lastModifiedBy>
  <dcterms:created xsi:type="dcterms:W3CDTF">2026-05-29T11:23:08Z</dcterms:created>
  <dcterms:modified xsi:type="dcterms:W3CDTF">2026-06-02T11:54:14Z</dcterms:modified>
</cp:coreProperties>
</file>